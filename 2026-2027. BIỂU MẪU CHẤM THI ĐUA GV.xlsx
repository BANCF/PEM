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BF6EE61-F0D2-44DE-A997-C789F0E61422}" xr6:coauthVersionLast="47" xr6:coauthVersionMax="47" xr10:uidLastSave="{00000000-0000-0000-0000-000000000000}"/>
  <bookViews>
    <workbookView xWindow="-120" yWindow="-120" windowWidth="29040" windowHeight="15720" activeTab="2" xr2:uid="{00000000-000D-0000-FFFF-FFFF00000000}"/>
  </bookViews>
  <sheets>
    <sheet name="MẪU THÁNG" sheetId="1" r:id="rId1"/>
    <sheet name="MẪU THÁNG GVCN" sheetId="2" state="hidden" r:id="rId2"/>
    <sheet name="MẪU GV THÁNG" sheetId="3" r:id="rId3"/>
    <sheet name="MẪU THÁNG GVPCN" sheetId="4" state="hidden" r:id="rId4"/>
    <sheet name="MẪU NĂM GVBM CHỐT" sheetId="5" state="hidden" r:id="rId5"/>
    <sheet name="MẪU NĂM GVNK CHỐT" sheetId="6" state="hidden" r:id="rId6"/>
    <sheet name="MẪU NĂM GVCN" sheetId="7" state="hidden" r:id="rId7"/>
    <sheet name="MẪU ĐÁNH GIÁ NĂM GVBM" sheetId="8" state="hidden" r:id="rId8"/>
    <sheet name="MẪU NĂM GVPCN" sheetId="9" state="hidden" r:id="rId9"/>
    <sheet name="MẪU ĐÁNH GIÁ THANH TRA CHUYÊN M" sheetId="10" state="hidden" r:id="rId10"/>
    <sheet name="MẪU THÁNG CHỐT" sheetId="11"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ym6ITdoWUTHhNeuKdWP/RNLupVicI109sVHomyRq5kc="/>
    </ext>
  </extLst>
</workbook>
</file>

<file path=xl/calcChain.xml><?xml version="1.0" encoding="utf-8"?>
<calcChain xmlns="http://schemas.openxmlformats.org/spreadsheetml/2006/main">
  <c r="E105" i="11" l="1"/>
  <c r="D105" i="11"/>
  <c r="C105" i="11"/>
  <c r="B79" i="11"/>
  <c r="B103" i="11" s="1"/>
  <c r="B59" i="11"/>
  <c r="E106" i="6"/>
  <c r="D106" i="6"/>
  <c r="C106" i="6"/>
  <c r="B78" i="6"/>
  <c r="B104" i="6" s="1"/>
  <c r="B60" i="6"/>
  <c r="B50" i="6"/>
  <c r="B12" i="6"/>
  <c r="E121" i="5"/>
  <c r="D121" i="5"/>
  <c r="C121" i="5"/>
  <c r="B77" i="5"/>
  <c r="B119" i="5" s="1"/>
  <c r="B60" i="5"/>
  <c r="B50" i="5"/>
  <c r="B12" i="5"/>
  <c r="E120" i="4"/>
  <c r="D120" i="4"/>
  <c r="C120" i="4"/>
  <c r="B76" i="4"/>
  <c r="B118" i="4" s="1"/>
  <c r="B59" i="4"/>
  <c r="B50" i="4"/>
  <c r="B12" i="4"/>
  <c r="C75" i="3"/>
  <c r="G68" i="3"/>
  <c r="E68" i="3"/>
  <c r="G55" i="3"/>
  <c r="E55" i="3"/>
  <c r="G31" i="3"/>
  <c r="E31" i="3"/>
  <c r="G17" i="3"/>
  <c r="E17" i="3"/>
  <c r="G6" i="3"/>
  <c r="G75" i="3" s="1"/>
  <c r="E6" i="3"/>
  <c r="E75" i="3" s="1"/>
  <c r="E120" i="2"/>
  <c r="D120" i="2"/>
  <c r="C120" i="2"/>
  <c r="B76" i="2"/>
  <c r="B118" i="2" s="1"/>
  <c r="B59" i="2"/>
  <c r="B50" i="2"/>
  <c r="B12" i="2"/>
</calcChain>
</file>

<file path=xl/sharedStrings.xml><?xml version="1.0" encoding="utf-8"?>
<sst xmlns="http://schemas.openxmlformats.org/spreadsheetml/2006/main" count="1286" uniqueCount="510">
  <si>
    <t>TRƯỜNG TIỂU HỌC  - TRUNG HỌC CƠ SỞ PASCAL</t>
  </si>
  <si>
    <t>BẢN  ĐÁNH GIÁ THI ĐUA THÁNG……..</t>
  </si>
  <si>
    <t>Năm học 2023 - 2024</t>
  </si>
  <si>
    <t>Họ và tên:……………………………………………………………………</t>
  </si>
  <si>
    <t>Chức vụ: …………………………………………………………………….</t>
  </si>
  <si>
    <t>Tổ công tác: …………………………………………………………………</t>
  </si>
  <si>
    <t>Nhiệm vụ được giao: ……………………………………………………….</t>
  </si>
  <si>
    <t>Nội dung các tiêu chuẩn, tiêu chí</t>
  </si>
  <si>
    <t>Kết quả đánh giá</t>
  </si>
  <si>
    <t>Điểm</t>
  </si>
  <si>
    <t>Cá nhân tự chấm</t>
  </si>
  <si>
    <t>TTCM đánh giá</t>
  </si>
  <si>
    <t>BGH đánh giá</t>
  </si>
  <si>
    <r>
      <rPr>
        <b/>
        <sz val="14"/>
        <color theme="1"/>
        <rFont val="Times New Roman"/>
      </rPr>
      <t>I.</t>
    </r>
    <r>
      <rPr>
        <b/>
        <sz val="7"/>
        <color theme="1"/>
        <rFont val="Times New Roman"/>
      </rPr>
      <t xml:space="preserve">     </t>
    </r>
    <r>
      <rPr>
        <b/>
        <sz val="14"/>
        <color rgb="FF000000"/>
        <rFont val="Times New Roman"/>
      </rPr>
      <t>NỀ NẾP KỈ LUẬT CHUNG</t>
    </r>
  </si>
  <si>
    <t>- Đi làm đầy đủ</t>
  </si>
  <si>
    <t>10</t>
  </si>
  <si>
    <t>- Nghỉ 1 ngày CP/tháng</t>
  </si>
  <si>
    <t>- Nghỉ 2 ngày CP/tháng</t>
  </si>
  <si>
    <t>- Nghỉ 3 ngày CP trở lên hoặc 01 ngày KP trở lên</t>
  </si>
  <si>
    <r>
      <rPr>
        <b/>
        <sz val="12"/>
        <color theme="1"/>
        <rFont val="Times New Roman"/>
      </rPr>
      <t xml:space="preserve">2. Thực hiện nghiêm túc quy định về thời gian làm việc (giờ giấc làm việc trong ngày; giờ giấc ra vào tiết dạy; giờ trực) </t>
    </r>
    <r>
      <rPr>
        <sz val="10"/>
        <color rgb="FFFF0000"/>
        <rFont val="Times New Roman"/>
      </rPr>
      <t>không đi muộn, về sớm; không bỏ trực; ra vào lớp đúng giờ quy định; không tự ý đổi giờ, nhờ người dạy thay; không ra ngoài trong giờ làm việc (nếu không có lý do chính đáng hoặc được người phụ trách phân công).</t>
    </r>
  </si>
  <si>
    <t>- Đúng giờ</t>
  </si>
  <si>
    <t>- Chấm công muộn (sau 7h40p)/ vào lớp muộn 1 lần/tháng</t>
  </si>
  <si>
    <t>- Chấm công muộn (sau 7h40p)/vào lớp muộn 2 lần/tháng</t>
  </si>
  <si>
    <t>- Chấm công muộn (sau 7h40p)/vào lớp muộn 3 lần/tháng</t>
  </si>
  <si>
    <t>- Vào lớp muộn sau 10'/ Bỏ tiết không lí do/ ra khỏi trường không xin phép</t>
  </si>
  <si>
    <r>
      <rPr>
        <b/>
        <sz val="12"/>
        <color theme="1"/>
        <rFont val="Times New Roman"/>
      </rPr>
      <t xml:space="preserve">3. Thực hiện quy định về tiết kiệm điện: </t>
    </r>
    <r>
      <rPr>
        <sz val="12"/>
        <color rgb="FFFF0000"/>
        <rFont val="Times New Roman"/>
      </rPr>
      <t>tắt điện, tắt điều hòa khi không có người trong phòng, không mở cửa phòng học khi bật điều hòa,</t>
    </r>
  </si>
  <si>
    <t xml:space="preserve">- Thực hiện nghiêm túc </t>
  </si>
  <si>
    <t xml:space="preserve">- Vi phạm 1 lần/tháng  </t>
  </si>
  <si>
    <t>- Vi phạm 2 lần trở lên/tháng</t>
  </si>
  <si>
    <t>- Vi phạm từ 3 lần/tháng trở lên</t>
  </si>
  <si>
    <t>4. Chấp hành sự phân công của nhà trường</t>
  </si>
  <si>
    <t>- Nghiêm chỉnh, tích cực, tự giác</t>
  </si>
  <si>
    <t>- Chưa tự giác, chưa tích cực, phải nhắc nhở</t>
  </si>
  <si>
    <t>- Không chấp hành</t>
  </si>
  <si>
    <t xml:space="preserve">5. Tham gia đầy đủ các buổi hội họp, sự kiện, hoạt động tập thể của nhà trường. </t>
  </si>
  <si>
    <t>- Tham gia đầy đủ và đúng giờ</t>
  </si>
  <si>
    <t>- Vắng 1 lần/tháng</t>
  </si>
  <si>
    <t>- Vắng 2 lần/tháng</t>
  </si>
  <si>
    <t>- Vắng 3 lần/tháng trở lên</t>
  </si>
  <si>
    <t>6. Thực hiện quy định đồng phục</t>
  </si>
  <si>
    <t>7.Thực hiện quy định lịch trực</t>
  </si>
  <si>
    <t>8. Không hút thuốc, uống rượu bia trong trường, không sử dụng điện thoại khi đang dạy học.</t>
  </si>
  <si>
    <r>
      <rPr>
        <b/>
        <sz val="12"/>
        <color theme="1"/>
        <rFont val="Times New Roman"/>
      </rPr>
      <t xml:space="preserve">- </t>
    </r>
    <r>
      <rPr>
        <sz val="12"/>
        <color theme="1"/>
        <rFont val="Times New Roman"/>
      </rPr>
      <t>Thực hiện tốt</t>
    </r>
  </si>
  <si>
    <r>
      <rPr>
        <b/>
        <sz val="12"/>
        <color theme="1"/>
        <rFont val="Times New Roman"/>
      </rPr>
      <t xml:space="preserve">- </t>
    </r>
    <r>
      <rPr>
        <sz val="12"/>
        <color theme="1"/>
        <rFont val="Times New Roman"/>
      </rPr>
      <t>Vi phạm lần 1/tháng</t>
    </r>
  </si>
  <si>
    <t>- Vi phạm lần 2/tháng</t>
  </si>
  <si>
    <t>- Vi phạm lần 3/tháng trở lên</t>
  </si>
  <si>
    <t>9. Giao tiếp ứng xử chuẩn mực với đồng nghiệp, phụ huynh, học sinh ...</t>
  </si>
  <si>
    <r>
      <rPr>
        <b/>
        <sz val="12"/>
        <color theme="1"/>
        <rFont val="Times New Roman"/>
      </rPr>
      <t xml:space="preserve">- </t>
    </r>
    <r>
      <rPr>
        <sz val="12"/>
        <color theme="1"/>
        <rFont val="Times New Roman"/>
      </rPr>
      <t>Thực hiện tốt</t>
    </r>
  </si>
  <si>
    <t>- Bị phản ánh 1 lần/tháng</t>
  </si>
  <si>
    <t>- Bị phản ánh từ lần 2 trở lên</t>
  </si>
  <si>
    <r>
      <rPr>
        <b/>
        <sz val="12"/>
        <color theme="1"/>
        <rFont val="Times New Roman"/>
      </rPr>
      <t>II.</t>
    </r>
    <r>
      <rPr>
        <sz val="12"/>
        <color theme="1"/>
        <rFont val="Times New Roman"/>
      </rPr>
      <t xml:space="preserve"> </t>
    </r>
    <r>
      <rPr>
        <b/>
        <sz val="12"/>
        <color theme="1"/>
        <rFont val="Times New Roman"/>
      </rPr>
      <t xml:space="preserve"> Ý THỨC GIÁO DỤC NỀ NẾP HỌC SINH</t>
    </r>
  </si>
  <si>
    <t>1. Luôn giáo dục ý thức - nề nếp cho học sinh trong tiết dạy (nhắc HS thực hiện đồng phục, vệ sinh, bàn ghế...)</t>
  </si>
  <si>
    <t>- Thực hiện tốt</t>
  </si>
  <si>
    <t xml:space="preserve">- Từ 1-3 học sinh không thực hiện tốt nội quy </t>
  </si>
  <si>
    <t>- Trên 3 học sinh không thực hiện tốt nội quy</t>
  </si>
  <si>
    <t>2. Luôn giáo dục học sinh trong các hoạt động cộng đồng hoặc các hoạt động giáo dục khác ngoài tiết dạy của mình:</t>
  </si>
  <si>
    <t>- Giáo dục HS tích cực tham gia và nghiêm túc  trong các hoạt động tập thể. Có ý thức tốt thực hiện các quy định (Chào hỏi lịch sự, di chuyển trên hành lang, cầu thang an toàn, không phá hàng, lịch sự trong nhà ăn, giữ gìn vệ sinh chung, đi học đúng giờ, ra về nghiêm túc…).</t>
  </si>
  <si>
    <t>- HS chưa tích cực tham gia và nghiêm túc trong các hoạt động tập thể. Có thực hiện các quy định (Chào hỏi lịch sự, di chuyển trên hành lang, cầu thang an toàn, không phá hàng, lịch sự trong nhà ăn, giữ gìn vệ sinh chung, đi học đúng giờ, ra về nghiêm túc…) nhưng còn vi phạm nhiều lần.</t>
  </si>
  <si>
    <t>- Học sinh thường xuyên bị nhắc nhở, phê bình về việc không thực hiện nội quy, quy định.</t>
  </si>
  <si>
    <r>
      <rPr>
        <b/>
        <sz val="12"/>
        <color theme="1"/>
        <rFont val="Times New Roman"/>
      </rPr>
      <t>III.</t>
    </r>
    <r>
      <rPr>
        <b/>
        <sz val="7"/>
        <color theme="1"/>
        <rFont val="Times New Roman"/>
      </rPr>
      <t xml:space="preserve"> </t>
    </r>
    <r>
      <rPr>
        <b/>
        <sz val="12"/>
        <color theme="1"/>
        <rFont val="Times New Roman"/>
      </rPr>
      <t>Ý THỨC TINH THẦN TRÁCH NHIỆM VỚI TẬP THỂ</t>
    </r>
  </si>
  <si>
    <t>1. Luôn có ý thức giúp đỡ đồng nghiệp; chia sẻ công việc và kiến thức, kinh nghiệm với đồng nghiệp để cùng tiến; chủ động hợp tác với đồng nghiệp...</t>
  </si>
  <si>
    <t>- Tích cực</t>
  </si>
  <si>
    <t>- Chưa tích cực</t>
  </si>
  <si>
    <t>- Không tích cực</t>
  </si>
  <si>
    <t>2. Thực hiện nghiêm túc, hiệu quả các công việc kiêm nhiệm ngoài chuyên môn.</t>
  </si>
  <si>
    <t>3. Tích cực, nhiệt tình khi tham gia các hoạt động chung của tập thể (tổ - trường) và PGD tổ chức.</t>
  </si>
  <si>
    <t>4. Luôn có ý thức quảng bá - truyền thông hình ảnh, thành tích của trường tới PHHS.</t>
  </si>
  <si>
    <t>5. Luôn có tinh thần học hỏi, cầu tiến, tự học để hoàn thiện bản thân.</t>
  </si>
  <si>
    <t xml:space="preserve">IV. KẾT QUẢ THỰC HIỆN CÁC NHIỆM VỤ GIÁO DỤC </t>
  </si>
  <si>
    <r>
      <rPr>
        <b/>
        <sz val="13"/>
        <color rgb="FF000000"/>
        <rFont val="&quot;Times New Roman&quot;"/>
      </rPr>
      <t xml:space="preserve">1. Thực hiện chấm chữa VBT cuối tuần, vở ghi </t>
    </r>
    <r>
      <rPr>
        <i/>
        <sz val="13"/>
        <color rgb="FFFF0000"/>
        <rFont val="&quot;Times New Roman&quot;"/>
      </rPr>
      <t>(đối với GVCN, GVBM)</t>
    </r>
  </si>
  <si>
    <t>- Chấm chữa và nhận xét chi tiết, thường xuyên</t>
  </si>
  <si>
    <t>- Có chấm chữa và nhận xét nhưng chưa chi tiết và thường xuyên</t>
  </si>
  <si>
    <t>- Có chấm bài nhưng còn sai sót, chưa chữa lỗi và nhận xét cho học sinh</t>
  </si>
  <si>
    <r>
      <rPr>
        <b/>
        <sz val="12"/>
        <color theme="1"/>
        <rFont val="Times New Roman"/>
      </rPr>
      <t xml:space="preserve">2. Hồ sơ sổ sách </t>
    </r>
    <r>
      <rPr>
        <i/>
        <sz val="12"/>
        <color theme="1"/>
        <rFont val="Times New Roman"/>
      </rPr>
      <t>(Lịch báo giảng, Giáo án, KH giảng dạy, sổ hội họp, sổ chủ nhiệm…)</t>
    </r>
  </si>
  <si>
    <t>- Đủ, sạch đẹp, khoa học, đầy đủ nội dung, thực hiện đúng tiến độ</t>
  </si>
  <si>
    <t>- Chưa hoàn thiện 1 số nội dung trong các hồ sơ</t>
  </si>
  <si>
    <t>- Thiếu hồ sơ</t>
  </si>
  <si>
    <t xml:space="preserve">2. Dự giờ </t>
  </si>
  <si>
    <t xml:space="preserve">- Đạt 4 tiết trở lên/tháng </t>
  </si>
  <si>
    <t>- 3 tiết/tháng</t>
  </si>
  <si>
    <t>- 2 tiết/tháng</t>
  </si>
  <si>
    <t>3. Thực hiện KH giảng dạy</t>
  </si>
  <si>
    <t>- Đúng tiến độ, không cắt xén, không dạy dồn ghép</t>
  </si>
  <si>
    <t>- Bài dạy sai lệch so với KHGD, Lịch báo giảng</t>
  </si>
  <si>
    <t>- Không đảm bảo tiến độ chương trình</t>
  </si>
  <si>
    <t>4. Chất lượng giờ dạy - Ứng dụng CNTT, đổi mới PP dạy học</t>
  </si>
  <si>
    <t>- Được đánh giá và tự đánh giá tốt</t>
  </si>
  <si>
    <t>- Được đánh giá Khá</t>
  </si>
  <si>
    <t>- Được đánh giá TB</t>
  </si>
  <si>
    <t>TỔNG ĐIỂM</t>
  </si>
  <si>
    <r>
      <rPr>
        <sz val="12"/>
        <color theme="1"/>
        <rFont val="Noto Sans Symbols"/>
      </rPr>
      <t>·</t>
    </r>
    <r>
      <rPr>
        <sz val="7"/>
        <color theme="1"/>
        <rFont val="Times New Roman"/>
      </rPr>
      <t xml:space="preserve">      </t>
    </r>
    <r>
      <rPr>
        <b/>
        <sz val="12"/>
        <color theme="1"/>
        <rFont val="Times New Roman"/>
      </rPr>
      <t>ĐÁNH GIÁ CỦA BAN GIÁM HIỆU</t>
    </r>
  </si>
  <si>
    <t xml:space="preserve">Tổng điểm………………… </t>
  </si>
  <si>
    <t>Xếp loại …………………..</t>
  </si>
  <si>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</si>
  <si>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</si>
  <si>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THÁNG ......</t>
  </si>
  <si>
    <t>Năm học 2026 - 2027</t>
  </si>
  <si>
    <t xml:space="preserve">Tổ công tác: </t>
  </si>
  <si>
    <r>
      <rPr>
        <b/>
        <sz val="12"/>
        <color theme="1"/>
        <rFont val="Times New Roman"/>
      </rPr>
      <t>I.</t>
    </r>
    <r>
      <rPr>
        <b/>
        <sz val="12"/>
        <color theme="1"/>
        <rFont val="Times New Roman"/>
      </rPr>
      <t xml:space="preserve">     </t>
    </r>
    <r>
      <rPr>
        <b/>
        <sz val="12"/>
        <color rgb="FF000000"/>
        <rFont val="Times New Roman"/>
      </rPr>
      <t>NỀ NẾP KỈ LUẬT CHUNG</t>
    </r>
  </si>
  <si>
    <r>
      <rPr>
        <b/>
        <sz val="12"/>
        <color theme="1"/>
        <rFont val="Times New Roman"/>
      </rPr>
      <t xml:space="preserve">1. Thực hiện quy định ngày công: </t>
    </r>
    <r>
      <rPr>
        <i/>
        <sz val="12"/>
        <color rgb="FFFF0000"/>
        <rFont val="Times New Roman"/>
      </rPr>
      <t xml:space="preserve">nghỉ phải có xin phép, chủ động đổi giờ hoặc nhờ đồng nghiệp dạy thay (báo cáo BGH để quản lý)  </t>
    </r>
  </si>
  <si>
    <t>- Nghỉ 1 ngày CP</t>
  </si>
  <si>
    <t>- Nghỉ 2 ngày CP</t>
  </si>
  <si>
    <t xml:space="preserve">- Nghỉ 3 ngày CP trở lên </t>
  </si>
  <si>
    <t>- Nghỉ không phép</t>
  </si>
  <si>
    <r>
      <rPr>
        <b/>
        <sz val="12"/>
        <color theme="1"/>
        <rFont val="Times New Roman"/>
      </rPr>
      <t xml:space="preserve">2. Thực hiện nghiêm túc quy định về thời gian làm việc (giờ giấc làm việc trong ngày; giờ giấc ra vào tiết dạy; giờ trực) </t>
    </r>
    <r>
      <rPr>
        <i/>
        <sz val="12"/>
        <color rgb="FFFF0000"/>
        <rFont val="Times New Roman"/>
      </rPr>
      <t>không đi muộn, về sớm; ra vào lớp đúng giờ quy định; không tự ý đổi giờ, nhờ người dạy thay; không ra ngoài trong giờ làm việc (nếu không có lý do chính đáng hoặc được người phụ trách phân công).</t>
    </r>
  </si>
  <si>
    <t>- Chấm công muộn (sau 7h40p) 2 đến 3 lần/ vào lớp muộn 1 lần</t>
  </si>
  <si>
    <t>- Chấm công muộn (sau 7h40p) 3 đến 4 lần/vào lớp muộn 2 lần</t>
  </si>
  <si>
    <t xml:space="preserve">- Chấm công muộn (sau 7h40p) trên 5 lần/vào lớp muộn 3 lần </t>
  </si>
  <si>
    <t xml:space="preserve">- Vào lớp muộn sau 10'/ Bỏ tiết không lí do/ ra khỏi trường không xin phép </t>
  </si>
  <si>
    <t xml:space="preserve">3. Tham gia đầy đủ các buổi hội họp, sự kiện, hoạt động tập thể của nhà trường. </t>
  </si>
  <si>
    <t>- Vắng 1 đến 2 lần</t>
  </si>
  <si>
    <t>- Vắng 3 lần</t>
  </si>
  <si>
    <t>- Vắng 3 lần trở lên</t>
  </si>
  <si>
    <r>
      <rPr>
        <b/>
        <sz val="12"/>
        <color rgb="FF000000"/>
        <rFont val="&quot;Times New Roman&quot;"/>
      </rPr>
      <t>4. Thực hiện quy định đồng phục: (</t>
    </r>
    <r>
      <rPr>
        <i/>
        <sz val="12"/>
        <color rgb="FFFF0000"/>
        <rFont val="&quot;Times New Roman&quot;"/>
      </rPr>
      <t>mùa hè - thứ 2,6 sơ mi trắng, thứ 4,7 áo polo; mùa đông - thứ 2,4,6 sơ mi trắng)</t>
    </r>
  </si>
  <si>
    <t>- Vi phạm 1 đến 2 lần</t>
  </si>
  <si>
    <t>- Vi phạm 3 lần trở lên</t>
  </si>
  <si>
    <r>
      <rPr>
        <b/>
        <sz val="12"/>
        <color rgb="FF000000"/>
        <rFont val="&quot;Times New Roman&quot;"/>
      </rPr>
      <t xml:space="preserve">5.Thực hiện quy định lịch trực </t>
    </r>
    <r>
      <rPr>
        <i/>
        <sz val="12"/>
        <color rgb="FFFF0000"/>
        <rFont val="&quot;Times New Roman&quot;"/>
      </rPr>
      <t>(đúng giờ, hoàn thành đúng nhiệm vụ trực đúng yêu cầu, trách nhiệm và ghi nhật kí sổ trực - nếu được phân công)</t>
    </r>
  </si>
  <si>
    <t xml:space="preserve">- Vi phạm 1 lần  </t>
  </si>
  <si>
    <t>- Vi phạm từ 2 lần trở lên</t>
  </si>
  <si>
    <t>- Bỏ trực không lí do</t>
  </si>
  <si>
    <t>6. Không sử dụng điện thoại hoặc làm việc riêng khi đang dạy học/ trợ giảng/ PCN quản lí HS.</t>
  </si>
  <si>
    <r>
      <rPr>
        <b/>
        <sz val="12"/>
        <color theme="1"/>
        <rFont val="Times New Roman"/>
      </rPr>
      <t xml:space="preserve">- </t>
    </r>
    <r>
      <rPr>
        <sz val="12"/>
        <color theme="1"/>
        <rFont val="Times New Roman"/>
      </rPr>
      <t>Thực hiện tốt</t>
    </r>
  </si>
  <si>
    <r>
      <rPr>
        <b/>
        <sz val="12"/>
        <color rgb="FF000000"/>
        <rFont val="&quot;Times New Roman&quot;"/>
      </rPr>
      <t xml:space="preserve">- </t>
    </r>
    <r>
      <rPr>
        <sz val="12"/>
        <color rgb="FF000000"/>
        <rFont val="&quot;Times New Roman&quot;"/>
      </rPr>
      <t>Vi phạm lần 1 đến 2 lần</t>
    </r>
  </si>
  <si>
    <t>- Vi phạm 2 lần trở lên</t>
  </si>
  <si>
    <t xml:space="preserve">7. Giao tiếp, ứng xử chuẩn mực với đồng nghiệp, học sinh (luôn có tinh thần xây dựng tập thể đoàn kết, biết chia sẻ, hỗ trợ đồng nghiệp/HS). </t>
  </si>
  <si>
    <r>
      <rPr>
        <b/>
        <sz val="12"/>
        <color theme="1"/>
        <rFont val="Times New Roman"/>
      </rPr>
      <t xml:space="preserve">- </t>
    </r>
    <r>
      <rPr>
        <sz val="12"/>
        <color theme="1"/>
        <rFont val="Times New Roman"/>
      </rPr>
      <t>Thực hiện tốt</t>
    </r>
  </si>
  <si>
    <t>- Vi phạm 1 lần</t>
  </si>
  <si>
    <t>8. Được PHHS tin yêu, tín nhiệm</t>
  </si>
  <si>
    <t>- Bị phản ánh 1 lần</t>
  </si>
  <si>
    <t>- Bị phản ánh từ 2 lần trở lên</t>
  </si>
  <si>
    <r>
      <rPr>
        <b/>
        <sz val="12"/>
        <color theme="1"/>
        <rFont val="Times New Roman"/>
      </rPr>
      <t>II.</t>
    </r>
    <r>
      <rPr>
        <sz val="12"/>
        <color theme="1"/>
        <rFont val="Times New Roman"/>
      </rPr>
      <t xml:space="preserve"> </t>
    </r>
    <r>
      <rPr>
        <b/>
        <sz val="12"/>
        <color theme="1"/>
        <rFont val="Times New Roman"/>
      </rPr>
      <t xml:space="preserve"> LỚP CHỦ NHIỆM (PCN TH)</t>
    </r>
  </si>
  <si>
    <t>1. Đánh giá học tập lớp Chủ nhiệm</t>
  </si>
  <si>
    <t xml:space="preserve">- Điểm TB Toán+Văn (TV)+Anh cuối HK2 &gt; Điểm TB Toán+Văn (TV)+Anh cuối HK1 </t>
  </si>
  <si>
    <t>- Điểm TB Toán+Văn (TV)+Anh cuối HK2 = Điểm TB Toán+Văn (TV)+Anh cuối HK1</t>
  </si>
  <si>
    <t>- Điểm TB Toán+Văn (TV)+Anh cuối HK2 &lt; Điểm TB Toán+Văn (TV)+Anh cuối HK1</t>
  </si>
  <si>
    <t>2. Học sinh lớp chủ nhiệm tham gia các dự án do Nhà trường phát động</t>
  </si>
  <si>
    <t>- HS tích cực tham gia tất cả các hoạt động</t>
  </si>
  <si>
    <t>- HS chưa tích cực tham gia</t>
  </si>
  <si>
    <t>- HS không tham gia</t>
  </si>
  <si>
    <t>III. Ý THỨC TINH THẦN TRÁCH NHIỆM VỚI TẬP THỂ/ NHÀ TRƯỜNG</t>
  </si>
  <si>
    <t>1. Tích cực, nhiệt tình khi tham gia các hoạt động chung của tập thể (tổ - trường - hệ thống) và công đoàn tổ chức.</t>
  </si>
  <si>
    <t>- Tích cực (đi đúng giờ, có tinh thần trách nhiệm, nhiệt tình với các công việc/hoạt động chung)</t>
  </si>
  <si>
    <t>- Đi muộn, chưa tích cực, còn để nhắc nhở</t>
  </si>
  <si>
    <t>- Không tham gia</t>
  </si>
  <si>
    <t>2. Chấp hành nghiêm túc, đúng thời hạn các nhiệm vụ theo sự phân công của BGH, TTCM, TPCM, Ban sự kiện</t>
  </si>
  <si>
    <t>- Hoàn thành tốt, đúng thời hạn quy định, có hiệu quả</t>
  </si>
  <si>
    <t>- Chưa hoàn thành đúng thời gian quy định, còn sai sót để BGH, tổ chuyên môn nhắc nhở</t>
  </si>
  <si>
    <t xml:space="preserve">3. Luôn có ý thức quảng bá - xây dựng hình ảnh nhà trường, chia sẻ thành tích của trường tới PHHS. </t>
  </si>
  <si>
    <t>- Tích cực chia sẻ các bài truyền thông của trường trên trang Fb cá nhân/ hội nhóm/ cộng đồng/ người thân quen,... Luôn quảng bá, xây dựng hình ảnh trường trong nội bộ và cộng đồng PH-HS.</t>
  </si>
  <si>
    <t xml:space="preserve">- Chưa tích cực, còn để nhắc nhở. </t>
  </si>
  <si>
    <r>
      <rPr>
        <sz val="12"/>
        <color theme="1"/>
        <rFont val="&quot;Times New Roman&quot;"/>
      </rPr>
      <t xml:space="preserve">- Chia sẻ thông tin tiêu cực về nhà trường, CB-GV-NV trường </t>
    </r>
    <r>
      <rPr>
        <sz val="12"/>
        <color rgb="FFFF0000"/>
        <rFont val="&quot;Times New Roman&quot;"/>
      </rPr>
      <t xml:space="preserve">(trong nội bộ hoặc cộng đồng PH). </t>
    </r>
  </si>
  <si>
    <t>4. Giới thiệu được học sinh về học tại trường (con/cháu,...)</t>
  </si>
  <si>
    <t xml:space="preserve">- Giới thiệu được từ 01 học sinh </t>
  </si>
  <si>
    <t>-  Chưa giới thiệu được học sinh</t>
  </si>
  <si>
    <t>- Giới thiệu từ HS thứ 2 thì sẽ được cộng 1 điểm/ HS</t>
  </si>
  <si>
    <r>
      <rPr>
        <b/>
        <sz val="12"/>
        <color theme="1"/>
        <rFont val="Times New Roman"/>
      </rPr>
      <t xml:space="preserve">1. Hồ sơ sổ sách giáo viên </t>
    </r>
    <r>
      <rPr>
        <i/>
        <sz val="12"/>
        <color theme="1"/>
        <rFont val="Times New Roman"/>
      </rPr>
      <t>(</t>
    </r>
    <r>
      <rPr>
        <i/>
        <sz val="12"/>
        <color rgb="FFFF0000"/>
        <rFont val="Times New Roman"/>
      </rPr>
      <t>Lịch báo giảng, KH giảng dạy, sổ hội họp, sổ chủ nhiệm…</t>
    </r>
    <r>
      <rPr>
        <i/>
        <sz val="12"/>
        <color theme="1"/>
        <rFont val="Times New Roman"/>
      </rPr>
      <t>)</t>
    </r>
  </si>
  <si>
    <t>- Hoàn thành đầy đủ nhưng còn sai sót, còn để BGH, tổ đào tạo và tổ chuyên môn nhắc nhở</t>
  </si>
  <si>
    <t>- Hoàn thành không đúng thời gian quy định, để BGH, tổ đào tạo và tổ chuyên môn nhắc nhở</t>
  </si>
  <si>
    <t>- Thiếu/không hoàn thành hồ sơ hồ sơ giáo viên theo quy định.</t>
  </si>
  <si>
    <r>
      <rPr>
        <b/>
        <sz val="12"/>
        <color theme="1"/>
        <rFont val="Times New Roman"/>
      </rPr>
      <t xml:space="preserve">2. Dự giờ </t>
    </r>
    <r>
      <rPr>
        <i/>
        <sz val="12"/>
        <color rgb="FFFF0000"/>
        <rFont val="Times New Roman"/>
      </rPr>
      <t>(ghi chép đầy đủ tiến trình, có nhận xét tiết dạy)</t>
    </r>
  </si>
  <si>
    <t>- Ít hơn 3 tiết/tháng</t>
  </si>
  <si>
    <t>- Đúng tiến độ, thời gian quy định, không cắt xén, không dạy dồn ghép, đảm bảo nội dung kiến thức cần đạt</t>
  </si>
  <si>
    <t>- Không đảm bảo nội dung kiến thức cần đạt, bài dạy sai lệch so với KHGD, Lịch báo giảng</t>
  </si>
  <si>
    <t>4. Thực hiện chấm chữa VBT cuối tuần, vở ghi</t>
  </si>
  <si>
    <r>
      <rPr>
        <b/>
        <sz val="12"/>
        <color theme="1"/>
        <rFont val="&quot;Times New Roman&quot;"/>
      </rPr>
      <t xml:space="preserve">5. Thực hiện làm đề cương, phiếu bài tập, đề kiểm tra định kì </t>
    </r>
    <r>
      <rPr>
        <i/>
        <sz val="12"/>
        <color theme="1"/>
        <rFont val="&quot;Times New Roman&quot;"/>
      </rPr>
      <t>(phiếu tăng cường, BT cuối tuần, KT tháng, KT giữa kì, KT cuối kì)</t>
    </r>
  </si>
  <si>
    <t>- Thực hiện tốt, không sai sót, đúng thời gian quy định</t>
  </si>
  <si>
    <t>- Đúng thời gian quy định nhưng còn sai sót</t>
  </si>
  <si>
    <t>- Không đảm bảo về thời gian và chất lượng</t>
  </si>
  <si>
    <r>
      <rPr>
        <b/>
        <sz val="12"/>
        <color theme="1"/>
        <rFont val="&quot;Times New Roman&quot;"/>
      </rPr>
      <t xml:space="preserve">6. Chấm chữa bài kiểm tra định kì </t>
    </r>
    <r>
      <rPr>
        <i/>
        <sz val="12"/>
        <color theme="1"/>
        <rFont val="&quot;Times New Roman&quot;"/>
      </rPr>
      <t xml:space="preserve">( tuần, tháng, giữa kì, cuối kì) </t>
    </r>
  </si>
  <si>
    <t>- Chấm chính xác, không sai sót, đúng thời gian quy định</t>
  </si>
  <si>
    <t>- Chấm còn sai sót 1 đến 2 lỗi</t>
  </si>
  <si>
    <t>- Chấm sai sót từ 3 lỗi trở lên</t>
  </si>
  <si>
    <t>7. Thực hiện nhận xét học sinh thường xuyên, định kì (tuần, tháng, giữa kì, cuối kì) gửi PHHS.</t>
  </si>
  <si>
    <r>
      <rPr>
        <b/>
        <sz val="12"/>
        <color theme="1"/>
        <rFont val="&quot;Times New Roman&quot;"/>
      </rPr>
      <t xml:space="preserve">- </t>
    </r>
    <r>
      <rPr>
        <sz val="12"/>
        <color theme="1"/>
        <rFont val="&quot;Times New Roman&quot;"/>
      </rPr>
      <t xml:space="preserve">Nhận xét chi tiết và thường xuyên hàng ngày, hàng tuần và </t>
    </r>
    <r>
      <rPr>
        <b/>
        <sz val="12"/>
        <color rgb="FFFF0000"/>
        <rFont val="&quot;Times New Roman&quot;"/>
      </rPr>
      <t>gửi phiếu nhận xét đánh giá định kì</t>
    </r>
    <r>
      <rPr>
        <sz val="12"/>
        <color theme="1"/>
        <rFont val="&quot;Times New Roman&quot;"/>
      </rPr>
      <t xml:space="preserve"> (giữa kì, cuối kì) về PHHS.</t>
    </r>
  </si>
  <si>
    <t>- Có nhận xét hàng ngày, hàng tuần nhưng chưa thường xuyên và gửi phiếu nhận xét đánh giá định kì (giữa kì, cuối kì) về PHHS.</t>
  </si>
  <si>
    <t>- Có gửi phiếu nhận xét đánh giá giữa học kì hoặc cuối học kì nhưng chưa đúng thời gian, còn bị nhắc nhở</t>
  </si>
  <si>
    <t>- Không gửi phiếu nhận xét đánh giá giữa học kì hoặc cuối học kì</t>
  </si>
  <si>
    <t xml:space="preserve">8. Thực hiện báo cáo điểm, nhận xét theo quy định của trường và CSDL </t>
  </si>
  <si>
    <t>- Đúng yêu cầu nội dung, thời gian, không sai sót</t>
  </si>
  <si>
    <t>- Không đúng thời gian quy định, còn sai sót, phải để nhắc nhở</t>
  </si>
  <si>
    <t>9. Chất lượng giờ dạy - Ứng dụng CNTT, đổi mới PP dạy học</t>
  </si>
  <si>
    <t>- Được BGH, tổ chuyên môn đánh giá tốt/ GVG cấp Phường/ cấp Hệ thống</t>
  </si>
  <si>
    <t>10. Thực hiện số tiết dạy đảm bảo theo HĐLĐ</t>
  </si>
  <si>
    <t>- Đảm bảo đủ số tiết</t>
  </si>
  <si>
    <t xml:space="preserve">- Đảm bảo số tiết trên 80% </t>
  </si>
  <si>
    <t>- Chưa đảm bảo số tiết dạy ( dưới 70%)</t>
  </si>
  <si>
    <t>Tiêu chí đánh giá: Loại A (từ 85 điểm trở lên); Loại B (50 điểm - 84 điểm); Loại C (dưới 50 điểm)</t>
  </si>
  <si>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</si>
  <si>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</si>
  <si>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TRƯỜNG TIỂU HỌC VÀ THCS PASCAL</t>
  </si>
  <si>
    <t>ĐÁNH GIÁ THI ĐUA THÁNG ...</t>
  </si>
  <si>
    <t>NĂM HỌC 2026 - 2027</t>
  </si>
  <si>
    <t>STT</t>
  </si>
  <si>
    <t>Tiêu Chí</t>
  </si>
  <si>
    <t>GV TỰ CHẤM</t>
  </si>
  <si>
    <t>BGH, THANH TRA, TTCM CHẤM</t>
  </si>
  <si>
    <t xml:space="preserve">Ghi chú 
 </t>
  </si>
  <si>
    <t>Số lần vi phạm/ Điểm</t>
  </si>
  <si>
    <t>I</t>
  </si>
  <si>
    <t>Kỷ luật - Nề nếp</t>
  </si>
  <si>
    <t>Chấp hành giờ giấc làm việc (50 điểm): Đi làm đúng giờ, đủ ngày công.</t>
  </si>
  <si>
    <r>
      <rPr>
        <sz val="12"/>
        <color rgb="FF000000"/>
        <rFont val="Times New Roman"/>
      </rPr>
      <t xml:space="preserve">o Đi muộn/quên chấm công (giờ đến/giờ về): Trừ 1 điểm/lần. 
</t>
    </r>
    <r>
      <rPr>
        <b/>
        <sz val="12"/>
        <color rgb="FF000000"/>
        <rFont val="Times New Roman"/>
      </rPr>
      <t>GVPCN - 7h15; GVCN, GVBM - 7h30</t>
    </r>
  </si>
  <si>
    <t xml:space="preserve">Chấm công trước 7h40 - Không quá 2 lần/tháng </t>
  </si>
  <si>
    <t>o Vào lớp muộn/Về sớm không lý do: Trừ 5 điểm/lần.</t>
  </si>
  <si>
    <t>o Tự ý đổi giờ/đổi tiết dạy: Trừ 5 điểm/tiết.</t>
  </si>
  <si>
    <t>o Nghỉ làm không xin phép: Trừ 10 điểm/lần.</t>
  </si>
  <si>
    <t>o Nghỉ làm có phép nhưng báo sau 21h (ngày hôm trước): Trừ 5 điểm/lần.</t>
  </si>
  <si>
    <t>Thực hiện nội quy - nơi làm việc (50 điểm): Bàn giáo viên/lớp học gọn gàng; mặc đúng đồng phục; bảo quản cơ sở vật chất (CSVC).</t>
  </si>
  <si>
    <t>o Bàn giáo viên, học sinh trong lớp bừa bộn, vệ sinh lớp bẩn: Trừ 2 điểm/lần.</t>
  </si>
  <si>
    <t>o Vi phạm đồng phục, giày dép: Trừ 5 điểm/lần.</t>
  </si>
  <si>
    <t>- Mùa hè: Thứ 2,6 mặc sơ mi đồng phục; Thứ 4,7 áo polo đồng phục
- Mùa đông: Thứ 2,4,6 sơ mi đồng phục</t>
  </si>
  <si>
    <t>Trang phục công sở lịch sự</t>
  </si>
  <si>
    <t>o Quên không tắt điều hoà/tắt đèn/thiết bị điện khi ra về: Trừ 10 điểm/lần.</t>
  </si>
  <si>
    <t>II</t>
  </si>
  <si>
    <t>Tinh thần - Thái độ</t>
  </si>
  <si>
    <t>Thực hiện nhiệm vụ được phân công (50 điểm):</t>
  </si>
  <si>
    <t>Nhiệm vụ BGH/TTCM phân công ngoài công tác giảng dạy</t>
  </si>
  <si>
    <t>o Hoàn thành muộn so với deadline: Trừ 5 điểm/lần.</t>
  </si>
  <si>
    <t>o Hoàn thành nhưng có sai sót phải làm lại: Trừ 5 điểm/lần.</t>
  </si>
  <si>
    <t>o Không thực hiện/bỏ ngang nhiệm vụ: Trừ 20 điểm/nhiệm vụ.</t>
  </si>
  <si>
    <t>o Thưởng thực hiện tốt nhiệm vụ được phân công: thưởng 10 điểm</t>
  </si>
  <si>
    <t>Theo đánh giá của BGH</t>
  </si>
  <si>
    <t>Tinh thần hợp tác và chia sẻ (50 điểm): Tích cực hỗ trợ đồng nghiệp, tham gia chia sẻ chuyên môn, đóng góp tài liệu học tập.</t>
  </si>
  <si>
    <t>o Từ chối hỗ trợ công việc chung khi được phân công: Trừ 10 điểm/lần.</t>
  </si>
  <si>
    <t>Văn hóa giao tiếp &amp; Ứng xử (50 điểm): Giao tiếp chuẩn mực với học sinh, phụ huynh, đồng nghiệp.</t>
  </si>
  <si>
    <t>o Có phản ánh tiêu cực (đã được BGH xác minh đúng): Trừ 20 điểm/lần.</t>
  </si>
  <si>
    <t>Tham gia các sự kiện nhà trường, hệ thống (50 điểm): Có mặt đầy đủ, đúng giờ tại các ngày lễ, cuộc họp, hội nghị...</t>
  </si>
  <si>
    <t>o Muộn: Trừ 05 điểm/sự kiện.</t>
  </si>
  <si>
    <t>o Vắng mặt không lý do chính đáng: Trừ 10 điểm/sự kiện.</t>
  </si>
  <si>
    <t>Điểm thưởng đóng góp: Tham gia tích cực CLB, Ngoại khóa, Hội giảng, Sự kiện... với vai trò Ban tổ chức/Hỗ trợ cốt cán: +5 điểm/sự kiện (BGH đánh giá).</t>
  </si>
  <si>
    <t>III</t>
  </si>
  <si>
    <t>Công tác chuyên môn</t>
  </si>
  <si>
    <t>Hồ sơ chuyên môn &amp; Chuẩn bị bài giảng (50 điểm): Giáo án (word+ppt) đầy đủ, phiếu bài tập chất lượng, upload hệ thống đúng hạn.</t>
  </si>
  <si>
    <t>o Nộp chậm / thiếu hồ sơ / giáo án sơ sài: Trừ 10 điểm/lần.</t>
  </si>
  <si>
    <t>Chất lượng tiết dạy qua dự giờ, hội giảng, chuyên đề (150 điểm):</t>
  </si>
  <si>
    <t>o Xếp loại Hội giảng: Giỏi: 150 điểm | Khá: 100 điểm | TB: 50 điểm | Yếu/Không tham gia: 0 điểm.</t>
  </si>
  <si>
    <t>o Điểm thưởng chuyên môn:</t>
  </si>
  <si>
    <t>o Cả 2 lần Hội giảng trong năm đều được khen thưởng: +20 điểm.</t>
  </si>
  <si>
    <t>o Có Sáng kiến kinh nghiệm (SKKN) gửi Hội đồng cấp Phường/Thành phố/Quốc gia: +20 điểm/SKKN.</t>
  </si>
  <si>
    <t>o GV tích cực tìm hiểu về CNTT, ứng dụng AI trong dạy học, PP dạy học mới và tổ chức chuyên đề cấp trường hướng dẫn GV áp dụng vào giảng dạy: +15 điểm/chuyên đề.</t>
  </si>
  <si>
    <t>o Giáo viên giỏi (GVG) cấp Hệ thống/Cấp Phường: +25 / +15 / +10 điểm (Nhất/Nhì/Ba).</t>
  </si>
  <si>
    <t>o Giáo viên giỏi (GVG) cấp Thành phố: +40 / +30 / 20 điểm (Nhất/Nhì/Ba).</t>
  </si>
  <si>
    <t>Hoạt động dự giờ bồi dưỡng (50 điểm): (GV cũ: dự 2 tiết/tháng; GV dưới 1 năm: dự 1 tiết/tuần).</t>
  </si>
  <si>
    <t>Có thể 1 tiết/tháng (rồi cộng bù điểm vào cuối năm khi tính trung bình cả năm học) đối với giáo viên cũ</t>
  </si>
  <si>
    <t>o Thiếu 1 tiết theo quy định: Trừ 5 điểm/tiết.</t>
  </si>
  <si>
    <t>Giao bài – Chấm chữa bài tập/bài kiểm tra (100 điểm): Giao bài sát chương trình, chấm bài đúng tiến độ, có nhận xét chi tiết.</t>
  </si>
  <si>
    <t>o Thiếu đầu điểm/Chấm hình thức, qua loa: Trừ 10 điểm/lần.</t>
  </si>
  <si>
    <t>o Chấm thi còn sai sót: Trừ 10 điểm/lần.</t>
  </si>
  <si>
    <t>o Không nhận xét kiểm tra tuần/ tháng gửi PH: Trừ 10 điểm/lần.</t>
  </si>
  <si>
    <t>TTCM/TPCM được giao nhiệm vụ không thực hiện kiểm tra, đánh giá công việc của tổ viên: Trừ 5 điểm/giáo viên/lần</t>
  </si>
  <si>
    <t>Nhiệm vụ chuyên môn khác (100 điểm): Ra đề kiểm tra, đề cương, làm báo cáo, hoàn thiện học bạ/hồ sơ lớp.</t>
  </si>
  <si>
    <t>o Chậm tiến độ / Sai sót số liệu/ Chỉnh điểm CSDL: Trừ 10 điểm/lần.</t>
  </si>
  <si>
    <t>o Không thực hiện: Trừ 30 điểm/nhiệm vụ.</t>
  </si>
  <si>
    <t>Hoàn thành điểm danh tiết dạy và HS tham gia giờ học trên platform đầy đủ (50 điểm)</t>
  </si>
  <si>
    <t>o Thiếu một ngày trừ 2 điểm/ngày.</t>
  </si>
  <si>
    <t>Điểm thưởng vị trí: Đảm nhận vai trò TTCM/TPCM hoàn thành tốt nhiệm vụ: +30 điểm (Theo đánh giá của BGH)</t>
  </si>
  <si>
    <t>IV</t>
  </si>
  <si>
    <t>Hiệu quả công việc &amp; Chỉ số tín nhiệm (200 điểm)</t>
  </si>
  <si>
    <t>Quản lý lớp học &amp; Chất lượng học sinh (50 điểm): Lớp học kỷ luật tốt, học sinh tích cực, nền nếp ổn định.</t>
  </si>
  <si>
    <t>o Để xảy ra mất an toàn học đường/tai nạn thương tích (lỗi chủ quan): Trừ 20 điểm/vụ.</t>
  </si>
  <si>
    <t>o GV không quản lí HS để HS đi lại, nói chuyện tự do,... trong giờ học trừ 5 điểm/tiết dạy</t>
  </si>
  <si>
    <t>BGH, thanh tra, giám thị, tổ trưởng kiểm tra đánh giá</t>
  </si>
  <si>
    <t>o Lớp chủ nhiệm được khen thưởng: Lớp nhận cờ thi đua tháng +20 điểm, còn lại không được thưởng điểm</t>
  </si>
  <si>
    <t>Thầy Âu Huy Bình tổng hợp thi đua theo tháng</t>
  </si>
  <si>
    <r>
      <rPr>
        <sz val="12"/>
        <color rgb="FF000000"/>
        <rFont val="Times New Roman"/>
      </rPr>
      <t xml:space="preserve">o Lớp chủ nhiệm không có HS đi học muộn, mặc sai đồng phục và vi phạm kỷ luật trong một tháng </t>
    </r>
    <r>
      <rPr>
        <b/>
        <sz val="12"/>
        <color rgb="FF000000"/>
        <rFont val="Times New Roman"/>
      </rPr>
      <t xml:space="preserve">+ 10 điểm </t>
    </r>
  </si>
  <si>
    <t>Công tác học sinh giỏi (HSG) &amp; Phụ đạo học sinh yếu (50 điểm): Hoàn thành kế hoạch phụ đạo và bồi dưỡng.</t>
  </si>
  <si>
    <r>
      <rPr>
        <b/>
        <sz val="12"/>
        <color rgb="FF000000"/>
        <rFont val="Times New Roman"/>
      </rPr>
      <t xml:space="preserve">điểm danh, nhận xét theo buổi. Không điểm danh, nhận xét 1 buổi/tháng tính không hoàn thành nhiệm vụ - </t>
    </r>
    <r>
      <rPr>
        <b/>
        <sz val="12"/>
        <color rgb="FFFF0000"/>
        <rFont val="Times New Roman"/>
      </rPr>
      <t>cô Diệu Thúy kiểm tra báo cáo hàng tuần</t>
    </r>
  </si>
  <si>
    <r>
      <rPr>
        <sz val="12"/>
        <color rgb="FF000000"/>
        <rFont val="Times New Roman"/>
      </rPr>
      <t xml:space="preserve">o Điểm thưởng thành tích: Học sinh Lớp phụ đạo đạt điểm kiểm tra Tháng tiến bộ so với tháng trước </t>
    </r>
    <r>
      <rPr>
        <b/>
        <sz val="12"/>
        <color rgb="FF000000"/>
        <rFont val="Times New Roman"/>
      </rPr>
      <t>+1 điểm/HS</t>
    </r>
  </si>
  <si>
    <t>o Điểm thưởng thành tích: Học sinh đạt giải HSG cấp Cụm/Phường/TP/QG: 
 +10 / +8 / +5 điểm/HS (Vàng/Bạc/Đồng cấp TP/QG).
 +5 / +3 / +2 điểm/HS (Vàng/Bạc/Đồng cấp Phường).</t>
  </si>
  <si>
    <t>Chỉ tính giải cho Bộ/Sở/Phường tổ chức</t>
  </si>
  <si>
    <t>Đánh giá từ Phụ huynh/Học sinh (50 điểm):</t>
  </si>
  <si>
    <t>Nếu không có phản ánh gì từ PH/Học sinh</t>
  </si>
  <si>
    <t>o Được PH/HS nhắn tin/gửi thư khen ngợi đến BGH/HĐQT: +10 điểm/lần.</t>
  </si>
  <si>
    <t>o Phụ huynh phản ánh tiêu cực về kỹ năng sư phạm/thái độ: Trừ 15 điểm/lần.</t>
  </si>
  <si>
    <t>o Phụ huynh đồng loạt kiến nghị xin đổi Giáo viên/Nhân viên: Trừ 50 điểm/sự việc.</t>
  </si>
  <si>
    <t>V</t>
  </si>
  <si>
    <t>Công tác tuyển sinh, truyền thông (100 điểm)</t>
  </si>
  <si>
    <t>Giới thiệu được ít nhất 1 HS về trường (ghi số học sinh giới thiệu được về trường ở cột điểm) được 50 điểm/HS đầu tiên</t>
  </si>
  <si>
    <t>o Điểm thưởng tuyển sinh: Giới thiệu được từ 2 hs, mỗi hs thưởng 10 điểm
  GVCN lớp 5 tư vấn được từ 80% HS: Thưởng 20 điểm
  GVCN lớp 5 tư vấn được từ 60%  HS: Thưởng 5 điểm
  (điền điểm vào cột Điểm)</t>
  </si>
  <si>
    <r>
      <rPr>
        <sz val="12"/>
        <color rgb="FF000000"/>
        <rFont val="Times New Roman"/>
      </rPr>
      <t xml:space="preserve">o Điểm thưởng truyền thông: Xây dựng hình ảnh nhà trường: hàng ngày/hàng tuần chia sẻ các bài viết khen ngợi học sinh, khen giáo viên của Trường mình và các hình ảnh học sinh đẹp của lớp, của trường lên Fb, zalo,… của mình. </t>
    </r>
    <r>
      <rPr>
        <b/>
        <sz val="12"/>
        <color rgb="FF000000"/>
        <rFont val="Times New Roman"/>
      </rPr>
      <t>+ 1 điểm/lượt chia sẻ và bình luận/like/bài đăng</t>
    </r>
  </si>
  <si>
    <t>GV tính điểm đúng với lượt chia sẻ và bình luận/like. Nếu một tháng không chính xác thì không được tính điểm cho cả năm học. 
Thầy Quang kiểm tra lượt like, share, bình luận của mỗi bài đăng.</t>
  </si>
  <si>
    <t>o GV lên ý tưởng, tham gia vào bài viết chất lượng về hoạt động của lớp, cập nhật kịp thời lên các nền tảng facebook, tiktok của nhà trường +10 điểm/bài</t>
  </si>
  <si>
    <t xml:space="preserve">GVCN duy trì được sĩ số học sinh lớp trong một tháng học được 50 điểm </t>
  </si>
  <si>
    <t>o Trừ 20 điểm/học sinh chuyển đi trong 1 tháng do có phản ánh trực tiếp về sự thiếu sát sao của GVCN 
Trừ 20 điểm/học sinh chuyển đi sau 1 năm học (nếu lỗi tại GVCN không nắm bắt, không báo cáo hiện tượng cho BGH/HĐQT từ trước 1 tháng)</t>
  </si>
  <si>
    <r>
      <rPr>
        <b/>
        <sz val="12"/>
        <color theme="1"/>
        <rFont val="Times New Roman"/>
      </rPr>
      <t>I.</t>
    </r>
    <r>
      <rPr>
        <b/>
        <sz val="12"/>
        <color theme="1"/>
        <rFont val="Times New Roman"/>
      </rPr>
      <t xml:space="preserve">     </t>
    </r>
    <r>
      <rPr>
        <b/>
        <sz val="12"/>
        <color rgb="FF000000"/>
        <rFont val="Times New Roman"/>
      </rPr>
      <t>NỀ NẾP KỈ LUẬT CHUNG</t>
    </r>
  </si>
  <si>
    <r>
      <rPr>
        <b/>
        <sz val="12"/>
        <color theme="1"/>
        <rFont val="Times New Roman"/>
      </rPr>
      <t xml:space="preserve">1. Thực hiện quy định ngày công: </t>
    </r>
    <r>
      <rPr>
        <i/>
        <sz val="12"/>
        <color rgb="FFFF0000"/>
        <rFont val="Times New Roman"/>
      </rPr>
      <t xml:space="preserve">nghỉ phải có xin phép, chủ động đổi giờ hoặc nhờ đồng nghiệp dạy thay (báo cáo BGH để quản lý)  </t>
    </r>
  </si>
  <si>
    <r>
      <rPr>
        <b/>
        <sz val="12"/>
        <color theme="1"/>
        <rFont val="Times New Roman"/>
      </rPr>
      <t xml:space="preserve">2. Thực hiện nghiêm túc quy định về thời gian làm việc (giờ giấc làm việc trong ngày; giờ giấc ra vào tiết dạy; giờ trực) </t>
    </r>
    <r>
      <rPr>
        <i/>
        <sz val="12"/>
        <color rgb="FFFF0000"/>
        <rFont val="Times New Roman"/>
      </rPr>
      <t>không đi muộn, về sớm; ra vào lớp đúng giờ quy định; không tự ý đổi giờ, nhờ người dạy thay; không ra ngoài trong giờ làm việc (nếu không có lý do chính đáng hoặc được người phụ trách phân công).</t>
    </r>
  </si>
  <si>
    <r>
      <rPr>
        <b/>
        <sz val="12"/>
        <color rgb="FF000000"/>
        <rFont val="&quot;Times New Roman&quot;"/>
      </rPr>
      <t>4. Thực hiện quy định đồng phục: (</t>
    </r>
    <r>
      <rPr>
        <i/>
        <sz val="12"/>
        <color rgb="FFFF0000"/>
        <rFont val="&quot;Times New Roman&quot;"/>
      </rPr>
      <t>mùa hè - thứ 2,6 sơ mi trắng, thứ 4,7 áo polo; mùa đông - thứ 2,4,6 sơ mi trắng)</t>
    </r>
  </si>
  <si>
    <r>
      <rPr>
        <b/>
        <sz val="12"/>
        <color rgb="FF000000"/>
        <rFont val="&quot;Times New Roman&quot;"/>
      </rPr>
      <t xml:space="preserve">5.Thực hiện quy định lịch trực </t>
    </r>
    <r>
      <rPr>
        <i/>
        <sz val="12"/>
        <color rgb="FFFF0000"/>
        <rFont val="&quot;Times New Roman&quot;"/>
      </rPr>
      <t>(đúng giờ, hoàn thành đúng nhiệm vụ trực đúng yêu cầu, trách nhiệm và ghi nhật kí sổ trực - nếu được phân công)</t>
    </r>
  </si>
  <si>
    <r>
      <rPr>
        <b/>
        <sz val="12"/>
        <color theme="1"/>
        <rFont val="Times New Roman"/>
      </rPr>
      <t xml:space="preserve">- </t>
    </r>
    <r>
      <rPr>
        <sz val="12"/>
        <color theme="1"/>
        <rFont val="Times New Roman"/>
      </rPr>
      <t>Thực hiện tốt</t>
    </r>
  </si>
  <si>
    <r>
      <rPr>
        <b/>
        <sz val="12"/>
        <color rgb="FF000000"/>
        <rFont val="&quot;Times New Roman&quot;"/>
      </rPr>
      <t xml:space="preserve">- </t>
    </r>
    <r>
      <rPr>
        <sz val="12"/>
        <color rgb="FF000000"/>
        <rFont val="&quot;Times New Roman&quot;"/>
      </rPr>
      <t>Vi phạm lần 1 đến 2 lần</t>
    </r>
  </si>
  <si>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</si>
  <si>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 xml:space="preserve"> LỚP CHỦ NHIỆM (PCN TH)</t>
    </r>
  </si>
  <si>
    <r>
      <rPr>
        <sz val="12"/>
        <color theme="1"/>
        <rFont val="&quot;Times New Roman&quot;"/>
      </rPr>
      <t xml:space="preserve">- Chia sẻ thông tin tiêu cực về nhà trường, CB-GV-NV trường </t>
    </r>
    <r>
      <rPr>
        <sz val="12"/>
        <color rgb="FFFF0000"/>
        <rFont val="&quot;Times New Roman&quot;"/>
      </rPr>
      <t xml:space="preserve">(trong nội bộ hoặc cộng đồng PH). </t>
    </r>
  </si>
  <si>
    <r>
      <rPr>
        <b/>
        <sz val="12"/>
        <color theme="1"/>
        <rFont val="Times New Roman"/>
      </rPr>
      <t xml:space="preserve">1. Hồ sơ sổ sách giáo viên </t>
    </r>
    <r>
      <rPr>
        <i/>
        <sz val="12"/>
        <color theme="1"/>
        <rFont val="Times New Roman"/>
      </rPr>
      <t>(</t>
    </r>
    <r>
      <rPr>
        <i/>
        <sz val="12"/>
        <color rgb="FFFF0000"/>
        <rFont val="Times New Roman"/>
      </rPr>
      <t>Lịch báo giảng, KH giảng dạy, sổ hội họp, sổ chủ nhiệm…</t>
    </r>
    <r>
      <rPr>
        <i/>
        <sz val="12"/>
        <color theme="1"/>
        <rFont val="Times New Roman"/>
      </rPr>
      <t>)</t>
    </r>
  </si>
  <si>
    <r>
      <rPr>
        <b/>
        <sz val="12"/>
        <color theme="1"/>
        <rFont val="Times New Roman"/>
      </rPr>
      <t xml:space="preserve">2. Dự giờ </t>
    </r>
    <r>
      <rPr>
        <i/>
        <sz val="12"/>
        <color rgb="FFFF0000"/>
        <rFont val="Times New Roman"/>
      </rPr>
      <t>(ghi chép đầy đủ tiến trình, có nhận xét tiết dạy)</t>
    </r>
  </si>
  <si>
    <r>
      <rPr>
        <b/>
        <sz val="12"/>
        <color theme="1"/>
        <rFont val="&quot;Times New Roman&quot;"/>
      </rPr>
      <t xml:space="preserve">5. Thực hiện làm đề cương, phiếu bài tập, đề kiểm tra định kì </t>
    </r>
    <r>
      <rPr>
        <i/>
        <sz val="12"/>
        <color theme="1"/>
        <rFont val="&quot;Times New Roman&quot;"/>
      </rPr>
      <t>(phiếu tăng cường, BT cuối tuần, KT tháng, KT giữa kì, KT cuối kì)</t>
    </r>
  </si>
  <si>
    <r>
      <rPr>
        <b/>
        <sz val="12"/>
        <color theme="1"/>
        <rFont val="&quot;Times New Roman&quot;"/>
      </rPr>
      <t xml:space="preserve">6. Chấm chữa bài kiểm tra định kì </t>
    </r>
    <r>
      <rPr>
        <i/>
        <sz val="12"/>
        <color theme="1"/>
        <rFont val="&quot;Times New Roman&quot;"/>
      </rPr>
      <t xml:space="preserve">( tuần, tháng, giữa kì, cuối kì) </t>
    </r>
  </si>
  <si>
    <r>
      <rPr>
        <b/>
        <sz val="12"/>
        <color theme="1"/>
        <rFont val="&quot;Times New Roman&quot;"/>
      </rPr>
      <t xml:space="preserve">- </t>
    </r>
    <r>
      <rPr>
        <sz val="12"/>
        <color theme="1"/>
        <rFont val="&quot;Times New Roman&quot;"/>
      </rPr>
      <t xml:space="preserve">Nhận xét chi tiết và thường xuyên hàng ngày, hàng tuần và </t>
    </r>
    <r>
      <rPr>
        <b/>
        <sz val="12"/>
        <color rgb="FFFF0000"/>
        <rFont val="&quot;Times New Roman&quot;"/>
      </rPr>
      <t>gửi phiếu nhận xét đánh giá định kì</t>
    </r>
    <r>
      <rPr>
        <sz val="12"/>
        <color theme="1"/>
        <rFont val="&quot;Times New Roman&quot;"/>
      </rPr>
      <t xml:space="preserve"> (giữa kì, cuối kì) về PHHS.</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</si>
  <si>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</si>
  <si>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</si>
  <si>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r>
      <rPr>
        <b/>
        <sz val="12"/>
        <color theme="1"/>
        <rFont val="Times New Roman"/>
      </rPr>
      <t>I.</t>
    </r>
    <r>
      <rPr>
        <b/>
        <sz val="12"/>
        <color theme="1"/>
        <rFont val="Times New Roman"/>
      </rPr>
      <t xml:space="preserve">     </t>
    </r>
    <r>
      <rPr>
        <b/>
        <sz val="12"/>
        <color rgb="FF000000"/>
        <rFont val="Times New Roman"/>
      </rPr>
      <t>NỀ NẾP KỈ LUẬT CHUNG</t>
    </r>
  </si>
  <si>
    <r>
      <rPr>
        <b/>
        <sz val="12"/>
        <color theme="1"/>
        <rFont val="Times New Roman"/>
      </rPr>
      <t xml:space="preserve">1. Thực hiện quy định ngày công: </t>
    </r>
    <r>
      <rPr>
        <i/>
        <sz val="12"/>
        <color rgb="FFFF0000"/>
        <rFont val="Times New Roman"/>
      </rPr>
      <t xml:space="preserve">nghỉ phải có xin phép, chủ động đổi giờ hoặc nhờ đồng nghiệp dạy thay (báo cáo BGH để quản lý)  </t>
    </r>
  </si>
  <si>
    <t>- Nghỉ 3 ngày CP</t>
  </si>
  <si>
    <t>- Nghỉ 5 ngày CP</t>
  </si>
  <si>
    <t xml:space="preserve">- Nghỉ 5 ngày CP trở lên </t>
  </si>
  <si>
    <r>
      <rPr>
        <b/>
        <sz val="12"/>
        <color theme="1"/>
        <rFont val="Times New Roman"/>
      </rPr>
      <t xml:space="preserve">2. Thực hiện nghiêm túc quy định về thời gian làm việc (giờ giấc làm việc trong ngày; giờ giấc ra vào tiết dạy; giờ trực) </t>
    </r>
    <r>
      <rPr>
        <i/>
        <sz val="12"/>
        <color rgb="FFFF0000"/>
        <rFont val="Times New Roman"/>
      </rPr>
      <t>không đi muộn, về sớm; ra vào lớp đúng giờ quy định; không tự ý đổi giờ, nhờ người dạy thay; không ra ngoài trong giờ làm việc (nếu không có lý do chính đáng hoặc được người phụ trách phân công).</t>
    </r>
  </si>
  <si>
    <r>
      <rPr>
        <b/>
        <sz val="12"/>
        <color rgb="FF000000"/>
        <rFont val="&quot;Times New Roman&quot;"/>
      </rPr>
      <t>4. Thực hiện quy định đồng phục: (</t>
    </r>
    <r>
      <rPr>
        <i/>
        <sz val="12"/>
        <color rgb="FFFF0000"/>
        <rFont val="&quot;Times New Roman&quot;"/>
      </rPr>
      <t>mùa hè - thứ 2,6 sơ mi trắng, thứ 4,7 áo polo; mùa đông - thứ 2,4,6 sơ mi trắng)</t>
    </r>
  </si>
  <si>
    <r>
      <rPr>
        <b/>
        <sz val="12"/>
        <color rgb="FF000000"/>
        <rFont val="&quot;Times New Roman&quot;"/>
      </rPr>
      <t xml:space="preserve">5.Thực hiện quy định lịch trực </t>
    </r>
    <r>
      <rPr>
        <i/>
        <sz val="12"/>
        <color rgb="FFFF0000"/>
        <rFont val="&quot;Times New Roman&quot;"/>
      </rPr>
      <t>(đúng giờ, hoàn thành đúng nhiệm vụ trực đúng yêu cầu, trách nhiệm và ghi nhật kí sổ trực - nếu được phân công)</t>
    </r>
  </si>
  <si>
    <r>
      <rPr>
        <b/>
        <sz val="12"/>
        <color theme="1"/>
        <rFont val="Times New Roman"/>
      </rPr>
      <t xml:space="preserve">- </t>
    </r>
    <r>
      <rPr>
        <sz val="12"/>
        <color theme="1"/>
        <rFont val="Times New Roman"/>
      </rPr>
      <t>Thực hiện tốt</t>
    </r>
  </si>
  <si>
    <r>
      <rPr>
        <b/>
        <sz val="12"/>
        <color rgb="FF000000"/>
        <rFont val="&quot;Times New Roman&quot;"/>
      </rPr>
      <t xml:space="preserve">- </t>
    </r>
    <r>
      <rPr>
        <sz val="12"/>
        <color rgb="FF000000"/>
        <rFont val="&quot;Times New Roman&quot;"/>
      </rPr>
      <t>Vi phạm lần 1 đến 2 lần</t>
    </r>
  </si>
  <si>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</si>
  <si>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CÔNG TÁC BỒI DƯỠNG HSG, THAM GIA HỖ TRỢ DỰ ÁN HỌC TẬP, HOẠT ĐỘNG NGOẠI KHOÁ</t>
    </r>
  </si>
  <si>
    <t>1. Có HS đạt thành tích cao trong các kì thi văn hoá-văn nghệ-thể thao/ dự án học tập/ Ngày hội thể thao (từ cấp trường trở lên, áp dụng cho lớp mình được phân công chuyên môn)</t>
  </si>
  <si>
    <t>- Có HS đạt giải Nhất/Nhì (Vàng/Bạc)</t>
  </si>
  <si>
    <t>- Có HS đạt giải Ba (Đồng)</t>
  </si>
  <si>
    <t>- HS tham gia nhưng không có giải</t>
  </si>
  <si>
    <t xml:space="preserve">2. Tích cực tham gia hỗ trợ các lớp được phân công trong việc trang trí lớp, dự án học tập, các sự kiện, hoạt động ngoại khoá (đi dã ngoại...) </t>
  </si>
  <si>
    <t>- Tích cực tham gia tất cả các hoạt động</t>
  </si>
  <si>
    <t>- Chưa tích cực tham gia</t>
  </si>
  <si>
    <t>1. Tích cực, nhiệt tình khi tham gia các hoạt động chung của tập thể (tổ - trường - hệ thống) và PGD tổ chức.</t>
  </si>
  <si>
    <r>
      <rPr>
        <sz val="12"/>
        <color theme="1"/>
        <rFont val="&quot;Times New Roman&quot;"/>
      </rPr>
      <t xml:space="preserve">- Chia sẻ thông tin tiêu cực về nhà trường, CB-GV-NV trường </t>
    </r>
    <r>
      <rPr>
        <sz val="12"/>
        <color rgb="FFFF0000"/>
        <rFont val="&quot;Times New Roman&quot;"/>
      </rPr>
      <t xml:space="preserve">(trong nội bộ hoặc cộng đồng PH). </t>
    </r>
  </si>
  <si>
    <r>
      <rPr>
        <b/>
        <sz val="12"/>
        <color theme="1"/>
        <rFont val="Times New Roman"/>
      </rPr>
      <t xml:space="preserve">1. Hồ sơ sổ sách giáo viên </t>
    </r>
    <r>
      <rPr>
        <i/>
        <sz val="12"/>
        <color theme="1"/>
        <rFont val="Times New Roman"/>
      </rPr>
      <t>(</t>
    </r>
    <r>
      <rPr>
        <i/>
        <sz val="12"/>
        <color rgb="FFFF0000"/>
        <rFont val="Times New Roman"/>
      </rPr>
      <t>Lịch báo giảng, KH giảng dạy, sổ hội họp, sổ chủ nhiệm…</t>
    </r>
    <r>
      <rPr>
        <i/>
        <sz val="12"/>
        <color theme="1"/>
        <rFont val="Times New Roman"/>
      </rPr>
      <t>)</t>
    </r>
  </si>
  <si>
    <r>
      <rPr>
        <b/>
        <sz val="12"/>
        <color theme="1"/>
        <rFont val="Times New Roman"/>
      </rPr>
      <t xml:space="preserve">2. Dự giờ </t>
    </r>
    <r>
      <rPr>
        <i/>
        <sz val="12"/>
        <color rgb="FFFF0000"/>
        <rFont val="Times New Roman"/>
      </rPr>
      <t>(ghi chép đầy đủ tiến trình, có nhận xét tiết dạy)</t>
    </r>
  </si>
  <si>
    <r>
      <rPr>
        <b/>
        <sz val="12"/>
        <color theme="1"/>
        <rFont val="&quot;Times New Roman&quot;"/>
      </rPr>
      <t xml:space="preserve">5. Thực hiện làm đề cương, phiếu bài tập, đề kiểm tra định kì </t>
    </r>
    <r>
      <rPr>
        <i/>
        <sz val="12"/>
        <color theme="1"/>
        <rFont val="&quot;Times New Roman&quot;"/>
      </rPr>
      <t>(phiếu tăng cường, BT cuối tuần, KT tháng, KT giữa kì, KT cuối kì)</t>
    </r>
  </si>
  <si>
    <r>
      <rPr>
        <b/>
        <sz val="12"/>
        <color theme="1"/>
        <rFont val="&quot;Times New Roman&quot;"/>
      </rPr>
      <t xml:space="preserve">6. Chấm chữa bài kiểm tra định kì </t>
    </r>
    <r>
      <rPr>
        <i/>
        <sz val="12"/>
        <color theme="1"/>
        <rFont val="&quot;Times New Roman&quot;"/>
      </rPr>
      <t xml:space="preserve">( tuần, tháng, giữa kì, cuối kì) </t>
    </r>
  </si>
  <si>
    <r>
      <rPr>
        <b/>
        <sz val="12"/>
        <color theme="1"/>
        <rFont val="&quot;Times New Roman&quot;"/>
      </rPr>
      <t xml:space="preserve">- </t>
    </r>
    <r>
      <rPr>
        <sz val="12"/>
        <color theme="1"/>
        <rFont val="&quot;Times New Roman&quot;"/>
      </rPr>
      <t xml:space="preserve">Nhận xét chi tiết và thường xuyên hàng ngày, hàng tuần và </t>
    </r>
    <r>
      <rPr>
        <b/>
        <sz val="12"/>
        <color rgb="FFFF0000"/>
        <rFont val="&quot;Times New Roman&quot;"/>
      </rPr>
      <t>gửi phiếu nhận xét đánh giá định kì</t>
    </r>
    <r>
      <rPr>
        <sz val="12"/>
        <color theme="1"/>
        <rFont val="&quot;Times New Roman&quot;"/>
      </rPr>
      <t xml:space="preserve"> (giữa kì, cuối kì) về PHHS.</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</si>
  <si>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</si>
  <si>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</si>
  <si>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r>
      <rPr>
        <b/>
        <sz val="12"/>
        <color theme="1"/>
        <rFont val="Times New Roman"/>
      </rPr>
      <t>I.</t>
    </r>
    <r>
      <rPr>
        <b/>
        <sz val="12"/>
        <color theme="1"/>
        <rFont val="Times New Roman"/>
      </rPr>
      <t xml:space="preserve">     </t>
    </r>
    <r>
      <rPr>
        <b/>
        <sz val="12"/>
        <color rgb="FF000000"/>
        <rFont val="Times New Roman"/>
      </rPr>
      <t>NỀ NẾP KỈ LUẬT CHUNG</t>
    </r>
  </si>
  <si>
    <r>
      <rPr>
        <b/>
        <sz val="12"/>
        <color theme="1"/>
        <rFont val="Times New Roman"/>
      </rPr>
      <t xml:space="preserve">1. Thực hiện quy định ngày công: </t>
    </r>
    <r>
      <rPr>
        <i/>
        <sz val="12"/>
        <color rgb="FFFF0000"/>
        <rFont val="Times New Roman"/>
      </rPr>
      <t xml:space="preserve">nghỉ phải có xin phép, chủ động đổi giờ hoặc nhờ đồng nghiệp dạy thay (báo cáo BGH để quản lý)  </t>
    </r>
  </si>
  <si>
    <r>
      <rPr>
        <b/>
        <sz val="12"/>
        <color theme="1"/>
        <rFont val="Times New Roman"/>
      </rPr>
      <t xml:space="preserve">2. Thực hiện nghiêm túc quy định về thời gian làm việc (giờ giấc làm việc trong ngày; giờ giấc ra vào tiết dạy; giờ trực) </t>
    </r>
    <r>
      <rPr>
        <i/>
        <sz val="12"/>
        <color rgb="FFFF0000"/>
        <rFont val="Times New Roman"/>
      </rPr>
      <t>không đi muộn, về sớm; ra vào lớp đúng giờ quy định; không tự ý đổi giờ, nhờ người dạy thay; không ra ngoài trong giờ làm việc (nếu không có lý do chính đáng hoặc được người phụ trách phân công).</t>
    </r>
  </si>
  <si>
    <r>
      <rPr>
        <b/>
        <sz val="12"/>
        <color rgb="FF000000"/>
        <rFont val="&quot;Times New Roman&quot;"/>
      </rPr>
      <t>4. Thực hiện quy định đồng phục: (</t>
    </r>
    <r>
      <rPr>
        <i/>
        <sz val="12"/>
        <color rgb="FFFF0000"/>
        <rFont val="&quot;Times New Roman&quot;"/>
      </rPr>
      <t>mùa hè - thứ 2,6 sơ mi trắng, thứ 4,7 áo polo; mùa đông - thứ 2,4,6 sơ mi trắng)</t>
    </r>
  </si>
  <si>
    <r>
      <rPr>
        <b/>
        <sz val="12"/>
        <color rgb="FF000000"/>
        <rFont val="&quot;Times New Roman&quot;"/>
      </rPr>
      <t xml:space="preserve">5.Thực hiện quy định lịch trực </t>
    </r>
    <r>
      <rPr>
        <i/>
        <sz val="12"/>
        <color rgb="FFFF0000"/>
        <rFont val="&quot;Times New Roman&quot;"/>
      </rPr>
      <t>(đúng giờ, hoàn thành đúng nhiệm vụ trực đúng yêu cầu, trách nhiệm và ghi nhật kí sổ trực - nếu được phân công)</t>
    </r>
  </si>
  <si>
    <r>
      <rPr>
        <b/>
        <sz val="12"/>
        <color theme="1"/>
        <rFont val="Times New Roman"/>
      </rPr>
      <t xml:space="preserve">- </t>
    </r>
    <r>
      <rPr>
        <sz val="12"/>
        <color theme="1"/>
        <rFont val="Times New Roman"/>
      </rPr>
      <t>Thực hiện tốt</t>
    </r>
  </si>
  <si>
    <r>
      <rPr>
        <b/>
        <sz val="12"/>
        <color rgb="FF000000"/>
        <rFont val="&quot;Times New Roman&quot;"/>
      </rPr>
      <t xml:space="preserve">- </t>
    </r>
    <r>
      <rPr>
        <sz val="12"/>
        <color rgb="FF000000"/>
        <rFont val="&quot;Times New Roman&quot;"/>
      </rPr>
      <t>Vi phạm lần 1 đến 2 lần</t>
    </r>
  </si>
  <si>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</si>
  <si>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CÔNG TÁC BỒI DƯỠNG HSG, THAM GIA HỖ TRỢ DỰ ÁN HỌC TẬP, HOẠT ĐỘNG NGOẠI KHOÁ</t>
    </r>
  </si>
  <si>
    <r>
      <rPr>
        <sz val="12"/>
        <color theme="1"/>
        <rFont val="&quot;Times New Roman&quot;"/>
      </rPr>
      <t xml:space="preserve">- Chia sẻ thông tin tiêu cực về nhà trường, CB-GV-NV trường </t>
    </r>
    <r>
      <rPr>
        <sz val="12"/>
        <color rgb="FFFF0000"/>
        <rFont val="&quot;Times New Roman&quot;"/>
      </rPr>
      <t xml:space="preserve">(trong nội bộ hoặc cộng đồng PH). </t>
    </r>
  </si>
  <si>
    <r>
      <rPr>
        <b/>
        <sz val="12"/>
        <color rgb="FF000000"/>
        <rFont val="&quot;Times New Roman&quot;"/>
      </rPr>
      <t xml:space="preserve">1. Hồ sơ sổ sách giáo viên </t>
    </r>
    <r>
      <rPr>
        <i/>
        <sz val="12"/>
        <color rgb="FF000000"/>
        <rFont val="&quot;Times New Roman&quot;"/>
      </rPr>
      <t>(</t>
    </r>
    <r>
      <rPr>
        <i/>
        <sz val="12"/>
        <color rgb="FFFF0000"/>
        <rFont val="&quot;Times New Roman&quot;"/>
      </rPr>
      <t>Lịch báo giảng, KH giảng dạy, sổ hội họp, sổ theo dõi chất lượng HS thường xuyên…</t>
    </r>
    <r>
      <rPr>
        <i/>
        <sz val="12"/>
        <color rgb="FF000000"/>
        <rFont val="&quot;Times New Roman&quot;"/>
      </rPr>
      <t>)</t>
    </r>
  </si>
  <si>
    <r>
      <rPr>
        <b/>
        <sz val="12"/>
        <color rgb="FF000000"/>
        <rFont val="&quot;Times New Roman&quot;"/>
      </rPr>
      <t xml:space="preserve">2. Dự giờ </t>
    </r>
    <r>
      <rPr>
        <i/>
        <sz val="12"/>
        <color rgb="FFFF0000"/>
        <rFont val="&quot;Times New Roman&quot;"/>
      </rPr>
      <t>(ghi chép đầy đủ tiến trình, có nhận xét tiết dạy, thời gian, chữ kí)</t>
    </r>
  </si>
  <si>
    <t>- Đạt 4 tiết trở lên/tháng, đúng yêu cầu quy định</t>
  </si>
  <si>
    <t>- Đạt 4 tiết trở lên/tháng, nhưng chưa đúng yêu cầu quy định</t>
  </si>
  <si>
    <t>- 3 tiết/tháng, đúng yêu cầu quy định</t>
  </si>
  <si>
    <t xml:space="preserve">4. Thực hiện báo cáo điểm, nhận xét theo quy định của trường và CSDL </t>
  </si>
  <si>
    <t>5. Chất lượng giờ dạy - Ứng dụng CNTT, đổi mới PP dạy học</t>
  </si>
  <si>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</si>
  <si>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</si>
  <si>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CUỐI NĂM GVCN</t>
  </si>
  <si>
    <r>
      <rPr>
        <b/>
        <sz val="14"/>
        <color theme="1"/>
        <rFont val="Times New Roman"/>
      </rPr>
      <t>I.</t>
    </r>
    <r>
      <rPr>
        <b/>
        <sz val="7"/>
        <color theme="1"/>
        <rFont val="Times New Roman"/>
      </rPr>
      <t xml:space="preserve">     </t>
    </r>
    <r>
      <rPr>
        <b/>
        <sz val="14"/>
        <color rgb="FF000000"/>
        <rFont val="Times New Roman"/>
      </rPr>
      <t>NỀ NẾP KỈ LUẬT CHUNG</t>
    </r>
  </si>
  <si>
    <r>
      <rPr>
        <b/>
        <sz val="12"/>
        <color theme="1"/>
        <rFont val="Times New Roman"/>
      </rPr>
      <t xml:space="preserve">1. Thực hiện quy định ngày công: </t>
    </r>
    <r>
      <rPr>
        <sz val="10"/>
        <color rgb="FFFF0000"/>
        <rFont val="Times New Roman"/>
      </rPr>
      <t xml:space="preserve">nghỉ phải có xin phép, chủ động đổi giờ hoặc nhờ đồng nghiệp dạy thay (báo cáo BGH để quản lý)  </t>
    </r>
  </si>
  <si>
    <t>- Nghỉ 5 ngày CP trở lên hoặc 01 ngày KP trở lên</t>
  </si>
  <si>
    <r>
      <rPr>
        <b/>
        <sz val="12"/>
        <color theme="1"/>
        <rFont val="Times New Roman"/>
      </rPr>
      <t xml:space="preserve">2. Thực hiện nghiêm túc quy định về thời gian làm việc (giờ giấc làm việc trong ngày; giờ giấc ra vào tiết dạy; giờ trực) </t>
    </r>
    <r>
      <rPr>
        <sz val="10"/>
        <color rgb="FFFF0000"/>
        <rFont val="Times New Roman"/>
      </rPr>
      <t>không đi muộn, về sớm; không bỏ trực; ra vào lớp đúng giờ quy định; không tự ý đổi giờ, nhờ người dạy thay; không ra ngoài trong giờ làm việc (nếu không có lý do chính đáng hoặc được người phụ trách phân công).</t>
    </r>
  </si>
  <si>
    <t>không đưa trực vào mục 2 vì trùng với mục 7</t>
  </si>
  <si>
    <t>- Đi muộn, trực muộn, vào lớp muộn/về sớm : 2 đến 3 lần</t>
  </si>
  <si>
    <t>- Đi muộn/về sớm, trực muộn, vào lớp muộn: 4 đến 5 lần</t>
  </si>
  <si>
    <t>- Đi muộn/về sớm, trực muộn, vào lớp muộn trên 5 lần</t>
  </si>
  <si>
    <r>
      <rPr>
        <b/>
        <sz val="12"/>
        <color theme="1"/>
        <rFont val="Times New Roman"/>
      </rPr>
      <t xml:space="preserve">3. Thực hiện quy định về tiết kiệm điện: </t>
    </r>
    <r>
      <rPr>
        <sz val="12"/>
        <color rgb="FFFF0000"/>
        <rFont val="Times New Roman"/>
      </rPr>
      <t>tắt điện, tắt điều hòa khi không có người trong phòng, không mở cửa phòng học khi bật điều hòa,</t>
    </r>
  </si>
  <si>
    <t>- Vi phạm từ 1 đến 2 lần</t>
  </si>
  <si>
    <t>- Vi phạm 3 lần</t>
  </si>
  <si>
    <t xml:space="preserve">- Vi phạm trên 3 lần </t>
  </si>
  <si>
    <t>- Vắng từ 1 đến 2 lần</t>
  </si>
  <si>
    <t>- Vắng trên 3 lần</t>
  </si>
  <si>
    <t>- Vi phạm từ 2 đến 3 lần</t>
  </si>
  <si>
    <t>- Vi phạm từ 3 đến 4 lần</t>
  </si>
  <si>
    <t>- Vi phạm trên 4 lần</t>
  </si>
  <si>
    <t>7.Thực hiện quy định lịch trực (hoàn thành nhiệm vụ trực đúng yêu cầu về thời gian, trách nhiệm - ghi nhật kí sổ trực)</t>
  </si>
  <si>
    <t>8. Không hút thuốc, uống rượu bia trong trường, không sử dụng điện thoại, không làm việc riêng khi đang dạy học.</t>
  </si>
  <si>
    <r>
      <rPr>
        <b/>
        <sz val="12"/>
        <color theme="1"/>
        <rFont val="Times New Roman"/>
      </rPr>
      <t xml:space="preserve">- </t>
    </r>
    <r>
      <rPr>
        <sz val="12"/>
        <color theme="1"/>
        <rFont val="Times New Roman"/>
      </rPr>
      <t>Thực hiện tốt</t>
    </r>
  </si>
  <si>
    <r>
      <rPr>
        <b/>
        <sz val="12"/>
        <color theme="1"/>
        <rFont val="Times New Roman"/>
      </rPr>
      <t xml:space="preserve">- </t>
    </r>
    <r>
      <rPr>
        <sz val="12"/>
        <color theme="1"/>
        <rFont val="Times New Roman"/>
      </rPr>
      <t>Vi phạm lần 1</t>
    </r>
  </si>
  <si>
    <t>- Vi phạm lần 2</t>
  </si>
  <si>
    <t>- Vi phạm lần 2 trở lên</t>
  </si>
  <si>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</si>
  <si>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 xml:space="preserve"> LỚP CHỦ NHIỆM</t>
    </r>
  </si>
  <si>
    <t>1. Đánh giá thi đua lớp Chủ nhiệm</t>
  </si>
  <si>
    <t>- Lớp xếp loại Xuất sắc</t>
  </si>
  <si>
    <t>- Lớp xếp loại Tiến tiến</t>
  </si>
  <si>
    <r>
      <rPr>
        <b/>
        <sz val="12"/>
        <color theme="1"/>
        <rFont val="Times New Roman"/>
      </rPr>
      <t>III.</t>
    </r>
    <r>
      <rPr>
        <b/>
        <sz val="7"/>
        <color theme="1"/>
        <rFont val="Times New Roman"/>
      </rPr>
      <t xml:space="preserve"> </t>
    </r>
    <r>
      <rPr>
        <b/>
        <sz val="12"/>
        <color theme="1"/>
        <rFont val="Times New Roman"/>
      </rPr>
      <t>Ý THỨC TINH THẦN TRÁCH NHIỆM VỚI TẬP THỂ</t>
    </r>
  </si>
  <si>
    <t>5. Giới thiệu được học sinh về học tại trường (con/cháu,...)</t>
  </si>
  <si>
    <t>- Giới thiệu được từ 01 học sinh trở lên</t>
  </si>
  <si>
    <r>
      <rPr>
        <b/>
        <sz val="13"/>
        <color theme="1"/>
        <rFont val="Times New Roman"/>
      </rPr>
      <t xml:space="preserve">1. Hồ sơ sổ sách giáo viên </t>
    </r>
    <r>
      <rPr>
        <i/>
        <sz val="13"/>
        <color theme="1"/>
        <rFont val="Times New Roman"/>
      </rPr>
      <t>(</t>
    </r>
    <r>
      <rPr>
        <i/>
        <sz val="13"/>
        <color rgb="FFFF0000"/>
        <rFont val="Times New Roman"/>
      </rPr>
      <t>Lịch báo giảng, KH giảng dạy, sổ hội họp, sổ chủ nhiệm…</t>
    </r>
    <r>
      <rPr>
        <i/>
        <sz val="13"/>
        <color theme="1"/>
        <rFont val="Times New Roman"/>
      </rPr>
      <t>)</t>
    </r>
  </si>
  <si>
    <r>
      <rPr>
        <b/>
        <sz val="13"/>
        <color theme="1"/>
        <rFont val="Times New Roman"/>
      </rPr>
      <t xml:space="preserve">2. Dự giờ </t>
    </r>
    <r>
      <rPr>
        <i/>
        <sz val="13"/>
        <color rgb="FFFF0000"/>
        <rFont val="Times New Roman"/>
      </rPr>
      <t>(ghi chép đầy đủ tiến trình, có nhận xét tiết dạy)</t>
    </r>
  </si>
  <si>
    <r>
      <rPr>
        <b/>
        <sz val="13"/>
        <color rgb="FF000000"/>
        <rFont val="&quot;Times New Roman&quot;"/>
      </rPr>
      <t xml:space="preserve">4. Thực hiện chấm chữa VBT cuối tuần, vở ghi </t>
    </r>
    <r>
      <rPr>
        <i/>
        <sz val="13"/>
        <color rgb="FFFF0000"/>
        <rFont val="&quot;Times New Roman&quot;"/>
      </rPr>
      <t>(đối với GVCN, GVBM)</t>
    </r>
  </si>
  <si>
    <t>5. Làm đề cương, phiếu bài, đề kiểm tra định kì ( tuần, tháng, giữa kì, cuối kì)</t>
  </si>
  <si>
    <t>- Đầy đủ</t>
  </si>
  <si>
    <t xml:space="preserve">- </t>
  </si>
  <si>
    <r>
      <rPr>
        <b/>
        <sz val="13"/>
        <color theme="1"/>
        <rFont val="&quot;Times New Roman&quot;"/>
      </rPr>
      <t xml:space="preserve">6. Chấm chữa bài kiểm tra định kì </t>
    </r>
    <r>
      <rPr>
        <i/>
        <sz val="13"/>
        <color theme="1"/>
        <rFont val="&quot;Times New Roman&quot;"/>
      </rPr>
      <t xml:space="preserve">( tuần, tháng, giữa kì, cuối kì) </t>
    </r>
  </si>
  <si>
    <t>-</t>
  </si>
  <si>
    <r>
      <rPr>
        <b/>
        <sz val="13"/>
        <color theme="1"/>
        <rFont val="&quot;Times New Roman&quot;"/>
      </rPr>
      <t xml:space="preserve">7. Thực hiện nhận xét học sinh thường xuyên, định kì gửi PHHS </t>
    </r>
    <r>
      <rPr>
        <i/>
        <sz val="13"/>
        <color theme="1"/>
        <rFont val="&quot;Times New Roman&quot;"/>
      </rPr>
      <t>( tuần, tháng, giữa kì, cuối kì)</t>
    </r>
    <r>
      <rPr>
        <b/>
        <sz val="13"/>
        <color theme="1"/>
        <rFont val="&quot;Times New Roman&quot;"/>
      </rPr>
      <t>.</t>
    </r>
  </si>
  <si>
    <t>- Được BGH, Tổ đào tạo, tổ chuyên môn đánh giá tốt</t>
  </si>
  <si>
    <r>
      <rPr>
        <sz val="12"/>
        <color theme="1"/>
        <rFont val="Noto Sans Symbols"/>
      </rPr>
      <t>·</t>
    </r>
    <r>
      <rPr>
        <sz val="7"/>
        <color theme="1"/>
        <rFont val="Times New Roman"/>
      </rPr>
      <t xml:space="preserve">      </t>
    </r>
    <r>
      <rPr>
        <b/>
        <sz val="12"/>
        <color theme="1"/>
        <rFont val="Times New Roman"/>
      </rPr>
      <t>ĐÁNH GIÁ CỦA BAN GIÁM HIỆU</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</si>
  <si>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</si>
  <si>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</si>
  <si>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CUỐI NĂM GVBM</t>
  </si>
  <si>
    <r>
      <rPr>
        <b/>
        <sz val="14"/>
        <color theme="1"/>
        <rFont val="Times New Roman"/>
      </rPr>
      <t>I.</t>
    </r>
    <r>
      <rPr>
        <b/>
        <sz val="7"/>
        <color theme="1"/>
        <rFont val="Times New Roman"/>
      </rPr>
      <t xml:space="preserve">     </t>
    </r>
    <r>
      <rPr>
        <b/>
        <sz val="14"/>
        <color rgb="FF000000"/>
        <rFont val="Times New Roman"/>
      </rPr>
      <t>NỀ NẾP KỈ LUẬT CHUNG</t>
    </r>
  </si>
  <si>
    <r>
      <rPr>
        <b/>
        <sz val="12"/>
        <color theme="1"/>
        <rFont val="Times New Roman"/>
      </rPr>
      <t xml:space="preserve">1. Thực hiện quy định ngày công: </t>
    </r>
    <r>
      <rPr>
        <sz val="10"/>
        <color rgb="FFFF0000"/>
        <rFont val="Times New Roman"/>
      </rPr>
      <t xml:space="preserve">nghỉ phải có xin phép, chủ động đổi giờ hoặc nhờ đồng nghiệp dạy thay (báo cáo BGH để quản lý)  </t>
    </r>
  </si>
  <si>
    <r>
      <rPr>
        <b/>
        <sz val="12"/>
        <color theme="1"/>
        <rFont val="Times New Roman"/>
      </rPr>
      <t xml:space="preserve">2. Thực hiện nghiêm túc quy định về thời gian làm việc (giờ giấc làm việc trong ngày; giờ giấc ra vào tiết dạy; giờ trực) </t>
    </r>
    <r>
      <rPr>
        <sz val="10"/>
        <color rgb="FFFF0000"/>
        <rFont val="Times New Roman"/>
      </rPr>
      <t>không đi muộn, về sớm; không bỏ trực; ra vào lớp đúng giờ quy định; không tự ý đổi giờ, nhờ người dạy thay; không ra ngoài trong giờ làm việc (nếu không có lý do chính đáng hoặc được người phụ trách phân công).</t>
    </r>
  </si>
  <si>
    <r>
      <rPr>
        <b/>
        <sz val="12"/>
        <color theme="1"/>
        <rFont val="Times New Roman"/>
      </rPr>
      <t xml:space="preserve">3. Thực hiện quy định về tiết kiệm điện: </t>
    </r>
    <r>
      <rPr>
        <sz val="12"/>
        <color rgb="FFFF0000"/>
        <rFont val="Times New Roman"/>
      </rPr>
      <t>tắt điện, tắt điều hòa khi không có người trong phòng, không mở cửa phòng học khi bật điều hòa,</t>
    </r>
  </si>
  <si>
    <t>7. Thực hiện quy định lịch trực (hoàn thành nhiệm vụ trực đúng yêu cầu về thời gian, trách nhiệm)</t>
  </si>
  <si>
    <r>
      <rPr>
        <b/>
        <sz val="12"/>
        <color theme="1"/>
        <rFont val="Times New Roman"/>
      </rPr>
      <t xml:space="preserve">- </t>
    </r>
    <r>
      <rPr>
        <sz val="12"/>
        <color theme="1"/>
        <rFont val="Times New Roman"/>
      </rPr>
      <t>Thực hiện tốt</t>
    </r>
  </si>
  <si>
    <r>
      <rPr>
        <b/>
        <sz val="12"/>
        <color theme="1"/>
        <rFont val="Times New Roman"/>
      </rPr>
      <t xml:space="preserve">- </t>
    </r>
    <r>
      <rPr>
        <sz val="12"/>
        <color theme="1"/>
        <rFont val="Times New Roman"/>
      </rPr>
      <t>Vi phạm lần 1</t>
    </r>
  </si>
  <si>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</si>
  <si>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 xml:space="preserve"> CÔNG TÁC BỒI DƯỠNG HSG, THAM GIA HỖ TRỢ DỰ ÁN HỌC TẬP, HOẠT ĐỘNG NGOẠI KHOÁ</t>
    </r>
  </si>
  <si>
    <t>- HS không tham gia/ HS tham gia nhưng không có giải</t>
  </si>
  <si>
    <r>
      <rPr>
        <b/>
        <sz val="12"/>
        <color theme="1"/>
        <rFont val="Times New Roman"/>
      </rPr>
      <t>III.</t>
    </r>
    <r>
      <rPr>
        <b/>
        <sz val="7"/>
        <color theme="1"/>
        <rFont val="Times New Roman"/>
      </rPr>
      <t xml:space="preserve"> </t>
    </r>
    <r>
      <rPr>
        <b/>
        <sz val="12"/>
        <color theme="1"/>
        <rFont val="Times New Roman"/>
      </rPr>
      <t>Ý THỨC TINH THẦN TRÁCH NHIỆM VỚI TẬP THỂ</t>
    </r>
  </si>
  <si>
    <t>- Chưa giới thiệu được học sinh</t>
  </si>
  <si>
    <r>
      <rPr>
        <b/>
        <sz val="12"/>
        <color theme="1"/>
        <rFont val="Times New Roman"/>
      </rPr>
      <t xml:space="preserve">1. Hồ sơ sổ sách </t>
    </r>
    <r>
      <rPr>
        <i/>
        <sz val="12"/>
        <color theme="1"/>
        <rFont val="Times New Roman"/>
      </rPr>
      <t>(Giáo án, KH giảng dạy, sổ dự giờ)</t>
    </r>
  </si>
  <si>
    <t xml:space="preserve">4. Tiết dạy GVG </t>
  </si>
  <si>
    <t>-  Giỏi cấp trường hoặc có Giải cấp Quận</t>
  </si>
  <si>
    <t>- Được đánh giá loại Khá cấp trường</t>
  </si>
  <si>
    <t>- Được đánh giá loại TB cấp trường</t>
  </si>
  <si>
    <r>
      <rPr>
        <sz val="12"/>
        <color theme="1"/>
        <rFont val="Noto Sans Symbols"/>
      </rPr>
      <t>·</t>
    </r>
    <r>
      <rPr>
        <sz val="7"/>
        <color theme="1"/>
        <rFont val="Times New Roman"/>
      </rPr>
      <t xml:space="preserve">      </t>
    </r>
    <r>
      <rPr>
        <b/>
        <sz val="12"/>
        <color theme="1"/>
        <rFont val="Times New Roman"/>
      </rPr>
      <t>ĐÁNH GIÁ CỦA BAN GIÁM HIỆU</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</si>
  <si>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</si>
  <si>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</si>
  <si>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CUỐI NĂM GVPCN</t>
  </si>
  <si>
    <r>
      <rPr>
        <b/>
        <sz val="14"/>
        <color theme="1"/>
        <rFont val="Times New Roman"/>
      </rPr>
      <t>I.</t>
    </r>
    <r>
      <rPr>
        <b/>
        <sz val="7"/>
        <color theme="1"/>
        <rFont val="Times New Roman"/>
      </rPr>
      <t xml:space="preserve">     </t>
    </r>
    <r>
      <rPr>
        <b/>
        <sz val="14"/>
        <color rgb="FF000000"/>
        <rFont val="Times New Roman"/>
      </rPr>
      <t>NỀ NẾP KỈ LUẬT CHUNG</t>
    </r>
  </si>
  <si>
    <r>
      <rPr>
        <b/>
        <sz val="12"/>
        <color theme="1"/>
        <rFont val="Times New Roman"/>
      </rPr>
      <t xml:space="preserve">1. Thực hiện quy định ngày công: </t>
    </r>
    <r>
      <rPr>
        <sz val="10"/>
        <color rgb="FFFF0000"/>
        <rFont val="Times New Roman"/>
      </rPr>
      <t xml:space="preserve">nghỉ phải có xin phép, chủ động đổi giờ hoặc nhờ đồng nghiệp dạy thay (báo cáo BGH để quản lý)  </t>
    </r>
  </si>
  <si>
    <r>
      <rPr>
        <b/>
        <sz val="12"/>
        <color theme="1"/>
        <rFont val="Times New Roman"/>
      </rPr>
      <t xml:space="preserve">2. Thực hiện nghiêm túc quy định về thời gian làm việc (giờ giấc làm việc trong ngày; giờ giấc ra vào tiết dạy; giờ trực) </t>
    </r>
    <r>
      <rPr>
        <sz val="10"/>
        <color rgb="FFFF0000"/>
        <rFont val="Times New Roman"/>
      </rPr>
      <t>không đi muộn, về sớm; không bỏ trực; ra vào lớp đúng giờ quy định; không tự ý đổi giờ, nhờ người dạy thay; không ra ngoài trong giờ làm việc (nếu không có lý do chính đáng hoặc được người phụ trách phân công).</t>
    </r>
  </si>
  <si>
    <r>
      <rPr>
        <b/>
        <sz val="12"/>
        <color theme="1"/>
        <rFont val="Times New Roman"/>
      </rPr>
      <t xml:space="preserve">3. Thực hiện quy định về tiết kiệm điện: </t>
    </r>
    <r>
      <rPr>
        <sz val="12"/>
        <color rgb="FFFF0000"/>
        <rFont val="Times New Roman"/>
      </rPr>
      <t>tắt điện, tắt điều hòa khi không có người trong phòng, không mở cửa phòng học khi bật điều hòa,</t>
    </r>
  </si>
  <si>
    <t>7.Thực hiện quy định lịch trực (hoàn thành nhiệm vụ trực đúng yêu cầu về thời gian, trách nhiệm)</t>
  </si>
  <si>
    <r>
      <rPr>
        <b/>
        <sz val="12"/>
        <color theme="1"/>
        <rFont val="Times New Roman"/>
      </rPr>
      <t xml:space="preserve">- </t>
    </r>
    <r>
      <rPr>
        <sz val="12"/>
        <color theme="1"/>
        <rFont val="Times New Roman"/>
      </rPr>
      <t>Thực hiện tốt</t>
    </r>
  </si>
  <si>
    <r>
      <rPr>
        <b/>
        <sz val="12"/>
        <color theme="1"/>
        <rFont val="Times New Roman"/>
      </rPr>
      <t xml:space="preserve">- </t>
    </r>
    <r>
      <rPr>
        <sz val="12"/>
        <color theme="1"/>
        <rFont val="Times New Roman"/>
      </rPr>
      <t>Vi phạm lần 1</t>
    </r>
  </si>
  <si>
    <r>
      <rPr>
        <b/>
        <sz val="12"/>
        <color theme="1"/>
        <rFont val="Times New Roman"/>
      </rPr>
      <t xml:space="preserve">- </t>
    </r>
    <r>
      <rPr>
        <sz val="12"/>
        <color theme="1"/>
        <rFont val="Times New Roman"/>
      </rPr>
      <t>Thực hiện tốt</t>
    </r>
  </si>
  <si>
    <r>
      <rPr>
        <b/>
        <sz val="12"/>
        <color theme="1"/>
        <rFont val="Times New Roman"/>
      </rPr>
      <t>II.</t>
    </r>
    <r>
      <rPr>
        <sz val="12"/>
        <color theme="1"/>
        <rFont val="Times New Roman"/>
      </rPr>
      <t xml:space="preserve"> </t>
    </r>
    <r>
      <rPr>
        <b/>
        <sz val="12"/>
        <color theme="1"/>
        <rFont val="Times New Roman"/>
      </rPr>
      <t xml:space="preserve"> LỚP PHÓ CHỦ NHIỆM</t>
    </r>
  </si>
  <si>
    <t>1. Đánh giá thi đua lớp Phó Chủ nhiệm</t>
  </si>
  <si>
    <r>
      <rPr>
        <b/>
        <sz val="12"/>
        <color theme="1"/>
        <rFont val="Times New Roman"/>
      </rPr>
      <t>III.</t>
    </r>
    <r>
      <rPr>
        <b/>
        <sz val="7"/>
        <color theme="1"/>
        <rFont val="Times New Roman"/>
      </rPr>
      <t xml:space="preserve"> </t>
    </r>
    <r>
      <rPr>
        <b/>
        <sz val="12"/>
        <color theme="1"/>
        <rFont val="Times New Roman"/>
      </rPr>
      <t>Ý THỨC TINH THẦN TRÁCH NHIỆM VỚI TẬP THỂ</t>
    </r>
  </si>
  <si>
    <r>
      <rPr>
        <b/>
        <sz val="12"/>
        <color theme="1"/>
        <rFont val="Times New Roman"/>
      </rPr>
      <t xml:space="preserve">1. Hồ sơ sổ sách </t>
    </r>
    <r>
      <rPr>
        <i/>
        <sz val="12"/>
        <color theme="1"/>
        <rFont val="Times New Roman"/>
      </rPr>
      <t>(Giáo án, KH giảng dạy, sổ dự giờ)</t>
    </r>
  </si>
  <si>
    <t>4. Tiết dạy được tổ đào tạo đánh giá</t>
  </si>
  <si>
    <t>-  Đạt loại Giỏi</t>
  </si>
  <si>
    <t>-  Đạt loại Khá</t>
  </si>
  <si>
    <t>-  Đạt loại Trung bình</t>
  </si>
  <si>
    <r>
      <rPr>
        <sz val="12"/>
        <color theme="1"/>
        <rFont val="Noto Sans Symbols"/>
      </rPr>
      <t>·</t>
    </r>
    <r>
      <rPr>
        <sz val="7"/>
        <color theme="1"/>
        <rFont val="Times New Roman"/>
      </rPr>
      <t xml:space="preserve">      </t>
    </r>
    <r>
      <rPr>
        <b/>
        <sz val="12"/>
        <color theme="1"/>
        <rFont val="Times New Roman"/>
      </rPr>
      <t>ĐÁNH GIÁ CỦA BAN GIÁM HIỆU</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</si>
  <si>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</si>
  <si>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</si>
  <si>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CUỐI NĂM THANH TRA CHUYÊN MÔN</t>
  </si>
  <si>
    <r>
      <rPr>
        <b/>
        <sz val="14"/>
        <color theme="1"/>
        <rFont val="Times New Roman"/>
      </rPr>
      <t>I.</t>
    </r>
    <r>
      <rPr>
        <b/>
        <sz val="7"/>
        <color theme="1"/>
        <rFont val="Times New Roman"/>
      </rPr>
      <t xml:space="preserve">     </t>
    </r>
    <r>
      <rPr>
        <b/>
        <sz val="14"/>
        <color rgb="FF000000"/>
        <rFont val="Times New Roman"/>
      </rPr>
      <t>NỀ NẾP KỈ LUẬT CHUNG</t>
    </r>
  </si>
  <si>
    <t>1. Thực hiện quy định ngày công</t>
  </si>
  <si>
    <t xml:space="preserve">2. Thực hiện nghiêm túc quy định về thời gian làm việc (giờ giấc làm việc trong ngày) </t>
  </si>
  <si>
    <t>- Đi muộn/ về sớm: 2 đến 3 lần</t>
  </si>
  <si>
    <t>- Đi muộn/ về sớm: 4 đến 5 lần</t>
  </si>
  <si>
    <t>- Đi muộn/ về sớm: trên 5 lần</t>
  </si>
  <si>
    <r>
      <rPr>
        <b/>
        <sz val="12"/>
        <color theme="1"/>
        <rFont val="Times New Roman"/>
      </rPr>
      <t xml:space="preserve">3. Thực hiện quy định về tiết kiệm điện: </t>
    </r>
    <r>
      <rPr>
        <sz val="12"/>
        <color rgb="FFFF0000"/>
        <rFont val="Times New Roman"/>
      </rPr>
      <t>tắt điện, tắt điều hòa khi không có người trong phòng, không mở cửa phòng khi bật điều hòa,</t>
    </r>
  </si>
  <si>
    <t>7. Thiện quy định lịch trực (hoàn thành nhiệm vụ trực đúng yêu cầu về thời gian, trách nhiệm)</t>
  </si>
  <si>
    <t>8. Không hút thuốc, uống rượu bia trong trường, không làm việc riêng khi đang thực hiện nhiệm vụ.</t>
  </si>
  <si>
    <r>
      <rPr>
        <b/>
        <sz val="12"/>
        <color theme="1"/>
        <rFont val="Times New Roman"/>
      </rPr>
      <t xml:space="preserve">- </t>
    </r>
    <r>
      <rPr>
        <sz val="12"/>
        <color theme="1"/>
        <rFont val="Times New Roman"/>
      </rPr>
      <t>Thực hiện tốt</t>
    </r>
  </si>
  <si>
    <r>
      <rPr>
        <b/>
        <sz val="12"/>
        <color theme="1"/>
        <rFont val="Times New Roman"/>
      </rPr>
      <t xml:space="preserve">- </t>
    </r>
    <r>
      <rPr>
        <sz val="12"/>
        <color theme="1"/>
        <rFont val="Times New Roman"/>
      </rPr>
      <t>Vi phạm lần 1</t>
    </r>
  </si>
  <si>
    <r>
      <rPr>
        <b/>
        <sz val="12"/>
        <color theme="1"/>
        <rFont val="Times New Roman"/>
      </rPr>
      <t xml:space="preserve">- </t>
    </r>
    <r>
      <rPr>
        <sz val="12"/>
        <color theme="1"/>
        <rFont val="Times New Roman"/>
      </rPr>
      <t>Thực hiện tốt</t>
    </r>
  </si>
  <si>
    <t>- Bị phản ánh từ lần 1 trở lên</t>
  </si>
  <si>
    <r>
      <rPr>
        <b/>
        <sz val="12"/>
        <color theme="1"/>
        <rFont val="Times New Roman"/>
      </rPr>
      <t>III.</t>
    </r>
    <r>
      <rPr>
        <b/>
        <sz val="7"/>
        <color theme="1"/>
        <rFont val="Times New Roman"/>
      </rPr>
      <t xml:space="preserve"> </t>
    </r>
    <r>
      <rPr>
        <b/>
        <sz val="12"/>
        <color theme="1"/>
        <rFont val="Times New Roman"/>
      </rPr>
      <t>Ý THỨC TINH THẦN TRÁCH NHIỆM VỚI TẬP THỂ</t>
    </r>
  </si>
  <si>
    <t>1. Luôn có ý thức giúp đỡ đào tạo GV; chia sẻ công việc và kiến thức, kinh nghiệm cho GV...</t>
  </si>
  <si>
    <t>2. Thực hiện nghiêm túc, hiệu quả các công việc kiêm nhiệm ngoài công tác thanh tra, đào tạo</t>
  </si>
  <si>
    <t>3. Tích cực, nhiệt tình khi tham gia các hoạt động chung của nhà trường</t>
  </si>
  <si>
    <t>4. Luôn có ý thức quảng bá - truyền thông hình ảnh, thành tích của trường (thông qua facebook, zalo, trao đổi trực tiếp,...)</t>
  </si>
  <si>
    <r>
      <rPr>
        <b/>
        <sz val="12"/>
        <color theme="1"/>
        <rFont val="Times New Roman"/>
      </rPr>
      <t>1. Kiểm tra Hồ sơ sổ sách GV</t>
    </r>
    <r>
      <rPr>
        <i/>
        <sz val="12"/>
        <color theme="1"/>
        <rFont val="Times New Roman"/>
      </rPr>
      <t>(Giáo án, KH giảng dạy, sổ dự giờ)</t>
    </r>
  </si>
  <si>
    <t>-Thực hiện kiểm tra thường xuyên và có báo cáo đánh giá</t>
  </si>
  <si>
    <t>-Thực hiện kiểm tra chưa thường xuyên và chưa có báo cáo đánh giá</t>
  </si>
  <si>
    <t>- Không thực hiện</t>
  </si>
  <si>
    <t>2. Dự giờ GV</t>
  </si>
  <si>
    <t>- Đạt 8-10 tiết/ tuần</t>
  </si>
  <si>
    <t>- 6-7 tiết/tuần</t>
  </si>
  <si>
    <t>- 4-5 tiết/tuần</t>
  </si>
  <si>
    <t>- dưới 4 tiết/tuần</t>
  </si>
  <si>
    <t>3. Góp ý, xây dựng giáo án, tiến trình dạy của GVG dự thi cấp Thành phố/Quận/Hệ thống</t>
  </si>
  <si>
    <t>- Có GV đạt Giải Nhất/Nhì cấp Thành phố/Quận/Hệ thống</t>
  </si>
  <si>
    <t>- Có GV đạt Giải Ba cấp Thành phố/Quận/Hệ thống</t>
  </si>
  <si>
    <t>- Không có GV đạt giải</t>
  </si>
  <si>
    <r>
      <rPr>
        <sz val="12"/>
        <color theme="1"/>
        <rFont val="Noto Sans Symbols"/>
      </rPr>
      <t>·</t>
    </r>
    <r>
      <rPr>
        <sz val="7"/>
        <color theme="1"/>
        <rFont val="Times New Roman"/>
      </rPr>
      <t xml:space="preserve">      </t>
    </r>
    <r>
      <rPr>
        <b/>
        <sz val="12"/>
        <color theme="1"/>
        <rFont val="Times New Roman"/>
      </rPr>
      <t>ĐÁNH GIÁ CỦA BAN GIÁM HIỆU</t>
    </r>
  </si>
  <si>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</si>
  <si>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</si>
  <si>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t>BẢN  ĐÁNH GIÁ THI ĐUA THÁNG ....</t>
  </si>
  <si>
    <r>
      <rPr>
        <b/>
        <sz val="13"/>
        <color theme="1"/>
        <rFont val="Times New Roman"/>
      </rPr>
      <t>I.</t>
    </r>
    <r>
      <rPr>
        <b/>
        <sz val="13"/>
        <color theme="1"/>
        <rFont val="Times New Roman"/>
      </rPr>
      <t xml:space="preserve">     </t>
    </r>
    <r>
      <rPr>
        <b/>
        <sz val="13"/>
        <color rgb="FF000000"/>
        <rFont val="Times New Roman"/>
      </rPr>
      <t>NỀ NẾP KỈ LUẬT CHUNG</t>
    </r>
  </si>
  <si>
    <r>
      <rPr>
        <b/>
        <sz val="13"/>
        <color theme="1"/>
        <rFont val="Times New Roman"/>
      </rPr>
      <t xml:space="preserve">1. Thực hiện quy định ngày công: </t>
    </r>
    <r>
      <rPr>
        <i/>
        <sz val="13"/>
        <color rgb="FFFF0000"/>
        <rFont val="Times New Roman"/>
      </rPr>
      <t xml:space="preserve">nghỉ phải có xin phép, chủ động đổi giờ hoặc nhờ đồng nghiệp dạy thay (báo cáo BGH để quản lý)  </t>
    </r>
  </si>
  <si>
    <t>- Nghỉ 3 ngày CP trở lên hoặc nghỉ không phép</t>
  </si>
  <si>
    <r>
      <rPr>
        <b/>
        <sz val="13"/>
        <color theme="1"/>
        <rFont val="Times New Roman"/>
      </rPr>
      <t xml:space="preserve">2. Thực hiện nghiêm túc quy định về thời gian làm việc (giờ giấc làm việc trong ngày; giờ giấc ra vào tiết dạy; giờ trực) </t>
    </r>
    <r>
      <rPr>
        <i/>
        <sz val="13"/>
        <color rgb="FFFF0000"/>
        <rFont val="Times New Roman"/>
      </rPr>
      <t>không đi muộn, về sớm; ra vào lớp đúng giờ quy định; không tự ý đổi giờ, nhờ người dạy thay; không ra ngoài trong giờ làm việc (nếu không có lý do chính đáng hoặc được người phụ trách phân công).</t>
    </r>
  </si>
  <si>
    <t>3. Chấp hành sự phân công của nhà trường</t>
  </si>
  <si>
    <t xml:space="preserve">4. Tham gia đầy đủ các buổi hội họp, sự kiện, hoạt động tập thể của nhà trường. </t>
  </si>
  <si>
    <r>
      <rPr>
        <b/>
        <sz val="13"/>
        <color theme="1"/>
        <rFont val="Times New Roman"/>
      </rPr>
      <t xml:space="preserve">5. Thực hiện quy định đồng phục: </t>
    </r>
    <r>
      <rPr>
        <i/>
        <sz val="13"/>
        <color rgb="FFFF0000"/>
        <rFont val="Times New Roman"/>
      </rPr>
      <t>thứ 2, 4 mặc áo trắng; thứ 5,7 mặc áo phông đồng phục</t>
    </r>
  </si>
  <si>
    <r>
      <rPr>
        <b/>
        <sz val="13"/>
        <color theme="1"/>
        <rFont val="Times New Roman"/>
      </rPr>
      <t xml:space="preserve">6.Thực hiện quy định lịch trực </t>
    </r>
    <r>
      <rPr>
        <i/>
        <sz val="13"/>
        <color rgb="FFFF0000"/>
        <rFont val="Times New Roman"/>
      </rPr>
      <t>(đúng giờ, hoàn thành đúng nhiệm vụ được giao)</t>
    </r>
  </si>
  <si>
    <t>7. Không sử dụng điện thoại hoặc làm việc riêng khi đang dạy học/ trợ giảng/ PCN quản lí HS.</t>
  </si>
  <si>
    <r>
      <rPr>
        <b/>
        <sz val="13"/>
        <color theme="1"/>
        <rFont val="Times New Roman"/>
      </rPr>
      <t xml:space="preserve">- </t>
    </r>
    <r>
      <rPr>
        <sz val="13"/>
        <color theme="1"/>
        <rFont val="Times New Roman"/>
      </rPr>
      <t>Thực hiện tốt</t>
    </r>
  </si>
  <si>
    <r>
      <rPr>
        <b/>
        <sz val="13"/>
        <color theme="1"/>
        <rFont val="Times New Roman"/>
      </rPr>
      <t xml:space="preserve">- </t>
    </r>
    <r>
      <rPr>
        <sz val="13"/>
        <color theme="1"/>
        <rFont val="Times New Roman"/>
      </rPr>
      <t>Vi phạm lần 1/tháng</t>
    </r>
  </si>
  <si>
    <t>8. Giao tiếp, ứng xử chuẩn mực với CB-GV-NV, học sinh.</t>
  </si>
  <si>
    <r>
      <rPr>
        <b/>
        <sz val="13"/>
        <color theme="1"/>
        <rFont val="Times New Roman"/>
      </rPr>
      <t xml:space="preserve">- </t>
    </r>
    <r>
      <rPr>
        <sz val="13"/>
        <color theme="1"/>
        <rFont val="Times New Roman"/>
      </rPr>
      <t>Thực hiện tốt</t>
    </r>
  </si>
  <si>
    <t xml:space="preserve">- Vi phạm từ 2 lần/tháng  </t>
  </si>
  <si>
    <t xml:space="preserve">II. CHẤT LƯỢNG GIÁO DỤC </t>
  </si>
  <si>
    <r>
      <rPr>
        <b/>
        <sz val="13"/>
        <color theme="1"/>
        <rFont val="Times New Roman"/>
      </rPr>
      <t xml:space="preserve">1. Kết quả học tập của HS tiến bộ qua các kì thi đánh giá theo điểm Xếp hạng hàng tuần/tháng </t>
    </r>
    <r>
      <rPr>
        <i/>
        <sz val="13"/>
        <color rgb="FFFF0000"/>
        <rFont val="Times New Roman"/>
      </rPr>
      <t>(Đối với GVCN, GVPCN, GVBM có kết quả kiểm tra tuần/tháng)</t>
    </r>
  </si>
  <si>
    <t>- Kết quả xếp hạng tất cả các môn hoặc các lớp dạy đều tăng hạng từ 1 bậc trở lên hoặc vẫn giữ nguyên vị trí thứ Nhất</t>
  </si>
  <si>
    <r>
      <rPr>
        <sz val="13"/>
        <color theme="1"/>
        <rFont val="Times New Roman"/>
      </rPr>
      <t xml:space="preserve">- Kết quả xếp hạng 1/2 tổng số môn hoặc 1/2 tổng số lớp dạy tăng hạng từ 1 bậc trở lên </t>
    </r>
    <r>
      <rPr>
        <sz val="13"/>
        <color rgb="FFFF0000"/>
        <rFont val="Times New Roman"/>
      </rPr>
      <t>hoặc vẫn giữ nguyên vị trí thứ Hai</t>
    </r>
  </si>
  <si>
    <t>- Kết quả xếp hạng tất cả các môn hoặc các lớp dạy đều đạt tăng hạng bằng 0 (giữ nguyên thứ hạng)</t>
  </si>
  <si>
    <t xml:space="preserve">- Kết quả xếp hạng tất cả các môn hoặc các lớp dạy đều tụt hạng </t>
  </si>
  <si>
    <r>
      <rPr>
        <b/>
        <sz val="13"/>
        <color theme="1"/>
        <rFont val="Times New Roman"/>
      </rPr>
      <t xml:space="preserve">2. Kết quả rèn luyện của học sinh qua các sự kiện, các cuộc thi cấp trường, cấp Quận, cấp Thành phố </t>
    </r>
    <r>
      <rPr>
        <i/>
        <sz val="13"/>
        <color rgb="FFFF0000"/>
        <rFont val="Times New Roman"/>
      </rPr>
      <t>(Đối với GVBM không có kết quả kiểm tra tuần/tháng)</t>
    </r>
  </si>
  <si>
    <t>- HS lớp mình phụ trách giảng dạy/ lớp CLB tham gia sự kiện của trường, HS đạt giải trong cuộc thi nghệ thuật, TDTT cấp trường, cấp Quận, cấp Thành phố</t>
  </si>
  <si>
    <t>- HS lớp mình phụ trách giảng dạy/ lớp CLB tham gia sự kiện của trường, tham gia các cuộc thi nghệ thuật, TDTT cấp trường, cấp Quận, cấp Thành phố nhưng chưa đạt giải</t>
  </si>
  <si>
    <t>- HS lớp mình giảng dạy/ lớp CLB không tham gia sự kiện của trường, không tham gia các cuộc thi nghệ thuật, TDTT cấp trường, cấp Quận, cấp Thành phố.</t>
  </si>
  <si>
    <r>
      <rPr>
        <b/>
        <sz val="13"/>
        <color theme="1"/>
        <rFont val="Times New Roman"/>
      </rPr>
      <t>III.</t>
    </r>
    <r>
      <rPr>
        <b/>
        <sz val="13"/>
        <color theme="1"/>
        <rFont val="Times New Roman"/>
      </rPr>
      <t xml:space="preserve"> </t>
    </r>
    <r>
      <rPr>
        <b/>
        <sz val="13"/>
        <color theme="1"/>
        <rFont val="Times New Roman"/>
      </rPr>
      <t>Ý THỨC TINH THẦN TRÁCH NHIỆM VỚI TẬP THỂ</t>
    </r>
  </si>
  <si>
    <t>- Chưa tích cực, còn để nhắc nhở</t>
  </si>
  <si>
    <t>4. Thực hiện nghiêm túc, đúng thời hạn các nhiệm vụ BGH, tổ chuyên môn phân công</t>
  </si>
  <si>
    <t>- Hoàn thành tốt, đúng thời hạn quy định</t>
  </si>
  <si>
    <t>5. Luôn có ý thức quảng bá - truyền thông hình ảnh, thành tích của trường tới PHHS.</t>
  </si>
  <si>
    <r>
      <rPr>
        <b/>
        <sz val="13"/>
        <color theme="1"/>
        <rFont val="Times New Roman"/>
      </rPr>
      <t xml:space="preserve">1. Hồ sơ sổ sách giáo viên </t>
    </r>
    <r>
      <rPr>
        <i/>
        <sz val="13"/>
        <color theme="1"/>
        <rFont val="Times New Roman"/>
      </rPr>
      <t>(</t>
    </r>
    <r>
      <rPr>
        <i/>
        <sz val="13"/>
        <color rgb="FFFF0000"/>
        <rFont val="Times New Roman"/>
      </rPr>
      <t>Lịch báo giảng, KH giảng dạy, sổ hội họp, sổ chủ nhiệm…</t>
    </r>
    <r>
      <rPr>
        <i/>
        <sz val="13"/>
        <color theme="1"/>
        <rFont val="Times New Roman"/>
      </rPr>
      <t>)</t>
    </r>
  </si>
  <si>
    <r>
      <rPr>
        <b/>
        <sz val="13"/>
        <color theme="1"/>
        <rFont val="Times New Roman"/>
      </rPr>
      <t xml:space="preserve">2. Dự giờ </t>
    </r>
    <r>
      <rPr>
        <i/>
        <sz val="13"/>
        <color rgb="FFFF0000"/>
        <rFont val="Times New Roman"/>
      </rPr>
      <t>(ghi chép đầy đủ tiến trình, có nhận xét tiết dạy)</t>
    </r>
  </si>
  <si>
    <r>
      <rPr>
        <b/>
        <sz val="13"/>
        <color theme="1"/>
        <rFont val="Times New Roman"/>
      </rPr>
      <t xml:space="preserve">4.1. Quản lý giờ dạy </t>
    </r>
    <r>
      <rPr>
        <i/>
        <sz val="13"/>
        <color rgb="FFFF0000"/>
        <rFont val="Times New Roman"/>
      </rPr>
      <t>(Đối với GVNK, GV Tin học)</t>
    </r>
  </si>
  <si>
    <t>- Điểm danh đầu giờ, cuối giờ, quản lý HS, thực hiện đúng quy trình tiết dạy</t>
  </si>
  <si>
    <t>- Vi phạm một trong các yêu cầu trên</t>
  </si>
  <si>
    <r>
      <rPr>
        <b/>
        <sz val="13"/>
        <color theme="1"/>
        <rFont val="Times New Roman"/>
      </rPr>
      <t xml:space="preserve">4.2. Thực hiện chấm chữa VBT cuối tuần, vở ghi </t>
    </r>
    <r>
      <rPr>
        <i/>
        <sz val="13"/>
        <color rgb="FFFF0000"/>
        <rFont val="Times New Roman"/>
      </rPr>
      <t>(đối với GVCN, GVBM)</t>
    </r>
  </si>
  <si>
    <t>Ghi chú: GV để phụ huynh phàn nàn, khiếu nại</t>
  </si>
  <si>
    <r>
      <rPr>
        <sz val="12"/>
        <color theme="1"/>
        <rFont val="Times New Roman"/>
      </rPr>
      <t xml:space="preserve"> </t>
    </r>
    <r>
      <rPr>
        <b/>
        <sz val="12"/>
        <color theme="1"/>
        <rFont val="Times New Roman"/>
      </rPr>
      <t xml:space="preserve"> </t>
    </r>
  </si>
  <si>
    <r>
      <rPr>
        <b/>
        <sz val="12"/>
        <color theme="1"/>
        <rFont val="Times New Roman"/>
      </rPr>
      <t xml:space="preserve">    BAN GIÁM HIỆU                                                  TỔ TRƯỞNG CHUYÊN MÔN                                                           NGƯỜI TỰ ĐÁNH GIÁ   </t>
    </r>
    <r>
      <rPr>
        <sz val="12"/>
        <color theme="1"/>
        <rFont val="Times New Roman"/>
      </rPr>
      <t xml:space="preserve">                                                                                                </t>
    </r>
  </si>
  <si>
    <r>
      <t xml:space="preserve">1. Thực hiện quy định ngày công: </t>
    </r>
    <r>
      <rPr>
        <sz val="10"/>
        <color rgb="FFFF0000"/>
        <rFont val="Times New Roman"/>
      </rPr>
      <t xml:space="preserve">nghỉ phải có xin phép, chủ động đổi giờ hoặc nhờ đồng nghiệp dạy thay (báo cáo BGH để quản lý)  </t>
    </r>
  </si>
  <si>
    <t xml:space="preserve"> - Tham gia đầy đủ và đúng giờ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</si>
</sst>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Calibri"/>
      <scheme val="minor"/>
    </font>
    <font>
      <b/>
      <sz val="12"/>
      <color theme="1"/>
      <name val="Times New Roman"/>
    </font>
    <font>
      <b/>
      <sz val="14"/>
      <color theme="1"/>
      <name val="Times New Roman"/>
    </font>
    <font>
      <sz val="12"/>
      <color theme="1"/>
      <name val="Times New Roman"/>
    </font>
    <font>
      <sz val="12"/>
      <name val="Calibri"/>
    </font>
    <font>
      <b/>
      <sz val="11"/>
      <color theme="1"/>
      <name val="Times New Roman"/>
    </font>
    <font>
      <b/>
      <sz val="12"/>
      <color rgb="FFFF0000"/>
      <name val="Times New Roman"/>
    </font>
    <font>
      <sz val="12"/>
      <color theme="1"/>
      <name val="Calibri"/>
    </font>
    <font>
      <b/>
      <sz val="13"/>
      <color rgb="FF000000"/>
      <name val="Times New Roman"/>
    </font>
    <font>
      <sz val="13"/>
      <color theme="1"/>
      <name val="Times New Roman"/>
    </font>
    <font>
      <sz val="12"/>
      <color theme="1"/>
      <name val="Noto Sans Symbols"/>
    </font>
    <font>
      <b/>
      <sz val="12"/>
      <color rgb="FF000000"/>
      <name val="Times New Roman"/>
    </font>
    <font>
      <b/>
      <i/>
      <sz val="12"/>
      <color rgb="FFFF0000"/>
      <name val="Times New Roman"/>
    </font>
    <font>
      <b/>
      <sz val="14"/>
      <color rgb="FF000000"/>
      <name val="Times New Roman"/>
    </font>
    <font>
      <sz val="11"/>
      <color rgb="FF000000"/>
      <name val="Times New Roman"/>
    </font>
    <font>
      <sz val="12"/>
      <color theme="1"/>
      <name val="Calibri"/>
      <scheme val="minor"/>
    </font>
    <font>
      <b/>
      <sz val="14"/>
      <color rgb="FFFF0000"/>
      <name val="Times New Roman"/>
    </font>
    <font>
      <sz val="14"/>
      <color rgb="FF000000"/>
      <name val="Times New Roman"/>
    </font>
    <font>
      <sz val="12"/>
      <color rgb="FF000000"/>
      <name val="Times New Roman"/>
    </font>
    <font>
      <b/>
      <sz val="11"/>
      <color rgb="FF000000"/>
      <name val="Times New Roman"/>
    </font>
    <font>
      <sz val="12"/>
      <color rgb="FF081B3A"/>
      <name val="Times New Roman"/>
    </font>
    <font>
      <sz val="12"/>
      <color rgb="FF000000"/>
      <name val="Times New Roman"/>
    </font>
    <font>
      <sz val="12"/>
      <color rgb="FFFF0000"/>
      <name val="Times New Roman"/>
    </font>
    <font>
      <sz val="11"/>
      <color rgb="FFFF0000"/>
      <name val="Times New Roman"/>
    </font>
    <font>
      <sz val="11"/>
      <color rgb="FF000000"/>
      <name val="&quot;Times New Roman&quot;"/>
    </font>
    <font>
      <sz val="14"/>
      <color rgb="FF000000"/>
      <name val="&quot;Times New Roman&quot;"/>
    </font>
    <font>
      <sz val="11"/>
      <color rgb="FF000000"/>
      <name val="Calibri"/>
    </font>
    <font>
      <b/>
      <sz val="13"/>
      <color theme="1"/>
      <name val="Times New Roman"/>
    </font>
    <font>
      <b/>
      <sz val="13"/>
      <color rgb="FFFF0000"/>
      <name val="Times New Roman"/>
    </font>
    <font>
      <sz val="12"/>
      <color theme="1"/>
      <name val="Calibri"/>
    </font>
    <font>
      <b/>
      <sz val="16"/>
      <color theme="1"/>
      <name val="Times New Roman"/>
    </font>
    <font>
      <sz val="13"/>
      <color rgb="FF000000"/>
      <name val="Times New Roman"/>
    </font>
    <font>
      <b/>
      <sz val="7"/>
      <color theme="1"/>
      <name val="Times New Roman"/>
    </font>
    <font>
      <sz val="10"/>
      <color rgb="FFFF0000"/>
      <name val="Times New Roman"/>
    </font>
    <font>
      <b/>
      <sz val="13"/>
      <color rgb="FF000000"/>
      <name val="&quot;Times New Roman&quot;"/>
    </font>
    <font>
      <i/>
      <sz val="13"/>
      <color rgb="FFFF0000"/>
      <name val="&quot;Times New Roman&quot;"/>
    </font>
    <font>
      <i/>
      <sz val="12"/>
      <color theme="1"/>
      <name val="Times New Roman"/>
    </font>
    <font>
      <sz val="7"/>
      <color theme="1"/>
      <name val="Times New Roman"/>
    </font>
    <font>
      <i/>
      <sz val="12"/>
      <color rgb="FFFF0000"/>
      <name val="Times New Roman"/>
    </font>
    <font>
      <b/>
      <sz val="12"/>
      <color rgb="FF000000"/>
      <name val="&quot;Times New Roman&quot;"/>
    </font>
    <font>
      <i/>
      <sz val="12"/>
      <color rgb="FFFF0000"/>
      <name val="&quot;Times New Roman&quot;"/>
    </font>
    <font>
      <sz val="12"/>
      <color rgb="FF000000"/>
      <name val="&quot;Times New Roman&quot;"/>
    </font>
    <font>
      <sz val="12"/>
      <color theme="1"/>
      <name val="&quot;Times New Roman&quot;"/>
    </font>
    <font>
      <sz val="12"/>
      <color rgb="FFFF0000"/>
      <name val="&quot;Times New Roman&quot;"/>
    </font>
    <font>
      <b/>
      <sz val="12"/>
      <color theme="1"/>
      <name val="&quot;Times New Roman&quot;"/>
    </font>
    <font>
      <i/>
      <sz val="12"/>
      <color theme="1"/>
      <name val="&quot;Times New Roman&quot;"/>
    </font>
    <font>
      <b/>
      <sz val="12"/>
      <color rgb="FFFF0000"/>
      <name val="&quot;Times New Roman&quot;"/>
    </font>
    <font>
      <i/>
      <sz val="12"/>
      <color rgb="FF000000"/>
      <name val="&quot;Times New Roman&quot;"/>
    </font>
    <font>
      <i/>
      <sz val="13"/>
      <color theme="1"/>
      <name val="Times New Roman"/>
    </font>
    <font>
      <i/>
      <sz val="13"/>
      <color rgb="FFFF0000"/>
      <name val="Times New Roman"/>
    </font>
    <font>
      <b/>
      <sz val="13"/>
      <color theme="1"/>
      <name val="&quot;Times New Roman&quot;"/>
    </font>
    <font>
      <i/>
      <sz val="13"/>
      <color theme="1"/>
      <name val="&quot;Times New Roman&quot;"/>
    </font>
    <font>
      <sz val="13"/>
      <color rgb="FFFF0000"/>
      <name val="Times New Roman"/>
    </font>
  </fonts>
  <fills count="12">
    <fill>
      <patternFill patternType="none"/>
    </fill>
    <fill>
      <patternFill patternType="gray125"/>
    </fill>
    <fill>
      <patternFill patternType="solid">
        <fgColor rgb="FFD9D9D9"/>
        <bgColor rgb="FFD9D9D9"/>
      </patternFill>
    </fill>
    <fill>
      <patternFill patternType="solid">
        <fgColor rgb="FFFFF2CC"/>
        <bgColor rgb="FFFFF2CC"/>
      </patternFill>
    </fill>
    <fill>
      <patternFill patternType="solid">
        <fgColor rgb="FFFFFF00"/>
        <bgColor rgb="FFFFFF00"/>
      </patternFill>
    </fill>
    <fill>
      <patternFill patternType="solid">
        <fgColor rgb="FFFFFFFF"/>
        <bgColor rgb="FFFFFFFF"/>
      </patternFill>
    </fill>
    <fill>
      <patternFill patternType="solid">
        <fgColor rgb="FFC6E0B4"/>
        <bgColor rgb="FFC6E0B4"/>
      </patternFill>
    </fill>
    <fill>
      <patternFill patternType="solid">
        <fgColor rgb="FFC5E0B3"/>
        <bgColor rgb="FFC5E0B3"/>
      </patternFill>
    </fill>
    <fill>
      <patternFill patternType="solid">
        <fgColor rgb="FFFCE5CD"/>
        <bgColor rgb="FFFCE5CD"/>
      </patternFill>
    </fill>
    <fill>
      <patternFill patternType="solid">
        <fgColor theme="0"/>
        <bgColor theme="0"/>
      </patternFill>
    </fill>
    <fill>
      <patternFill patternType="solid">
        <fgColor rgb="FF00FF00"/>
        <bgColor rgb="FF00FF00"/>
      </patternFill>
    </fill>
    <fill>
      <patternFill patternType="solid">
        <fgColor rgb="FFFF9900"/>
        <bgColor rgb="FFFF9900"/>
      </patternFill>
    </fill>
  </fills>
  <borders count="35">
    <border>
      <left/>
      <right/>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style="thin">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bottom/>
      <diagonal/>
    </border>
    <border>
      <left/>
      <right/>
      <top/>
      <bottom style="medium">
        <color rgb="FF000000"/>
      </bottom>
      <diagonal/>
    </border>
    <border>
      <left style="thin">
        <color rgb="FF000000"/>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81">
    <xf numFmtId="0" fontId="0" fillId="0" borderId="0" xfId="0" applyFont="1" applyAlignment="1"/>
    <xf numFmtId="0" fontId="1" fillId="0" borderId="0" xfId="0" applyFont="1" applyAlignment="1">
      <alignment vertical="center"/>
    </xf>
    <xf numFmtId="0" fontId="1" fillId="0" borderId="0" xfId="0" applyFont="1" applyAlignment="1">
      <alignment horizontal="center" vertical="center"/>
    </xf>
    <xf numFmtId="0" fontId="3" fillId="0" borderId="0" xfId="0" applyFont="1" applyAlignment="1">
      <alignment horizontal="left" vertical="center"/>
    </xf>
    <xf numFmtId="0" fontId="1" fillId="0" borderId="2" xfId="0" applyFont="1" applyBorder="1" applyAlignment="1">
      <alignment horizontal="center" vertical="center" wrapText="1"/>
    </xf>
    <xf numFmtId="0" fontId="5" fillId="0" borderId="6" xfId="0" applyFont="1" applyBorder="1" applyAlignment="1">
      <alignment horizontal="center" vertical="center" wrapText="1"/>
    </xf>
    <xf numFmtId="0" fontId="2" fillId="2" borderId="7" xfId="0" applyFont="1" applyFill="1" applyBorder="1" applyAlignment="1">
      <alignment horizontal="left" vertical="center" wrapText="1"/>
    </xf>
    <xf numFmtId="0" fontId="6" fillId="2" borderId="8"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0" borderId="9" xfId="0" applyFont="1" applyBorder="1" applyAlignment="1">
      <alignment vertical="center" wrapText="1"/>
    </xf>
    <xf numFmtId="0" fontId="3" fillId="0" borderId="10" xfId="0" applyFont="1" applyBorder="1" applyAlignment="1">
      <alignment horizontal="center" vertical="center" wrapText="1"/>
    </xf>
    <xf numFmtId="0" fontId="2" fillId="0" borderId="1" xfId="0" applyFont="1" applyBorder="1" applyAlignment="1">
      <alignment vertical="center" wrapText="1"/>
    </xf>
    <xf numFmtId="0" fontId="3" fillId="0" borderId="9" xfId="0" applyFont="1" applyBorder="1" applyAlignment="1">
      <alignment vertical="center" wrapText="1"/>
    </xf>
    <xf numFmtId="0" fontId="2" fillId="0" borderId="9" xfId="0" applyFont="1" applyBorder="1" applyAlignment="1">
      <alignment vertical="center" wrapText="1"/>
    </xf>
    <xf numFmtId="0" fontId="3" fillId="0" borderId="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 xfId="0" applyFont="1" applyBorder="1" applyAlignment="1">
      <alignment vertical="center" wrapText="1"/>
    </xf>
    <xf numFmtId="0" fontId="3" fillId="0" borderId="11"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0" borderId="14" xfId="0" applyFont="1" applyBorder="1" applyAlignment="1">
      <alignment horizontal="center" vertical="center" wrapText="1"/>
    </xf>
    <xf numFmtId="0" fontId="1" fillId="0" borderId="10" xfId="0" applyFont="1" applyBorder="1" applyAlignment="1">
      <alignment vertical="center" wrapText="1"/>
    </xf>
    <xf numFmtId="0" fontId="1" fillId="0" borderId="9" xfId="0" applyFont="1" applyBorder="1" applyAlignment="1">
      <alignment horizontal="left" vertical="center" wrapText="1"/>
    </xf>
    <xf numFmtId="0" fontId="3" fillId="0" borderId="9" xfId="0" applyFont="1" applyBorder="1" applyAlignment="1">
      <alignment horizontal="left" vertical="center" wrapText="1"/>
    </xf>
    <xf numFmtId="0" fontId="3" fillId="0" borderId="5" xfId="0" applyFont="1" applyBorder="1" applyAlignment="1">
      <alignment horizontal="left" vertical="center" wrapText="1"/>
    </xf>
    <xf numFmtId="0" fontId="1" fillId="0" borderId="5" xfId="0" applyFont="1" applyBorder="1" applyAlignment="1">
      <alignment vertical="center" wrapText="1"/>
    </xf>
    <xf numFmtId="0" fontId="3" fillId="0" borderId="5" xfId="0" applyFont="1" applyBorder="1" applyAlignment="1">
      <alignment vertical="center" wrapText="1"/>
    </xf>
    <xf numFmtId="0" fontId="1" fillId="0" borderId="5" xfId="0" applyFont="1" applyBorder="1" applyAlignment="1">
      <alignment horizontal="left" vertical="center" wrapText="1"/>
    </xf>
    <xf numFmtId="0" fontId="6" fillId="0" borderId="6" xfId="0" applyFont="1" applyBorder="1" applyAlignment="1">
      <alignment horizontal="center" vertical="center" wrapText="1"/>
    </xf>
    <xf numFmtId="0" fontId="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7" fillId="0" borderId="5" xfId="0" applyFont="1" applyBorder="1" applyAlignment="1">
      <alignment vertical="top" wrapText="1"/>
    </xf>
    <xf numFmtId="0" fontId="2" fillId="0" borderId="5" xfId="0" applyFont="1" applyBorder="1" applyAlignment="1">
      <alignment vertical="center" wrapText="1"/>
    </xf>
    <xf numFmtId="0" fontId="8" fillId="0" borderId="11" xfId="0" applyFont="1" applyBorder="1" applyAlignment="1">
      <alignment wrapText="1"/>
    </xf>
    <xf numFmtId="0" fontId="9" fillId="0" borderId="12" xfId="0" applyFont="1" applyBorder="1" applyAlignment="1">
      <alignment wrapText="1"/>
    </xf>
    <xf numFmtId="0" fontId="9" fillId="0" borderId="15" xfId="0" applyFont="1" applyBorder="1" applyAlignment="1">
      <alignment wrapText="1"/>
    </xf>
    <xf numFmtId="0" fontId="1" fillId="0" borderId="5" xfId="0" applyFont="1" applyBorder="1" applyAlignment="1">
      <alignment horizontal="center" vertical="center" wrapText="1"/>
    </xf>
    <xf numFmtId="0" fontId="10" fillId="0" borderId="0" xfId="0" applyFont="1" applyAlignment="1">
      <alignment horizontal="left" vertical="center"/>
    </xf>
    <xf numFmtId="0" fontId="1" fillId="0" borderId="0" xfId="0" applyFont="1"/>
    <xf numFmtId="0" fontId="7" fillId="0" borderId="0" xfId="0" applyFont="1" applyAlignment="1"/>
    <xf numFmtId="0" fontId="7" fillId="0" borderId="0" xfId="0" applyFont="1"/>
    <xf numFmtId="0" fontId="3" fillId="0" borderId="0" xfId="0" applyFont="1" applyAlignment="1">
      <alignment vertical="center"/>
    </xf>
    <xf numFmtId="0" fontId="7" fillId="0" borderId="0" xfId="0" applyFont="1" applyAlignment="1">
      <alignment vertical="center"/>
    </xf>
    <xf numFmtId="0" fontId="3" fillId="0" borderId="17" xfId="0" applyFont="1" applyBorder="1" applyAlignment="1">
      <alignment vertical="center"/>
    </xf>
    <xf numFmtId="0" fontId="7" fillId="0" borderId="17" xfId="0" applyFont="1" applyBorder="1" applyAlignment="1">
      <alignment vertical="center"/>
    </xf>
    <xf numFmtId="0" fontId="7" fillId="0" borderId="11" xfId="0" applyFont="1" applyBorder="1" applyAlignment="1">
      <alignment vertical="center"/>
    </xf>
    <xf numFmtId="0" fontId="1" fillId="0" borderId="11" xfId="0" applyFont="1" applyBorder="1" applyAlignment="1">
      <alignment horizontal="center" vertical="center" wrapText="1"/>
    </xf>
    <xf numFmtId="0" fontId="11" fillId="3" borderId="11" xfId="0" applyFont="1" applyFill="1" applyBorder="1" applyAlignment="1">
      <alignment vertical="center" wrapText="1"/>
    </xf>
    <xf numFmtId="0" fontId="6" fillId="3" borderId="11" xfId="0" applyFont="1" applyFill="1" applyBorder="1" applyAlignment="1">
      <alignment horizontal="center" vertical="center" wrapText="1"/>
    </xf>
    <xf numFmtId="0" fontId="7" fillId="3" borderId="11" xfId="0" applyFont="1" applyFill="1" applyBorder="1" applyAlignment="1">
      <alignment vertical="center"/>
    </xf>
    <xf numFmtId="0" fontId="11" fillId="0" borderId="11" xfId="0" applyFont="1" applyBorder="1" applyAlignment="1">
      <alignment vertical="center" wrapText="1"/>
    </xf>
    <xf numFmtId="0" fontId="3" fillId="0" borderId="11" xfId="0" applyFont="1" applyBorder="1" applyAlignment="1">
      <alignment vertical="center" wrapText="1"/>
    </xf>
    <xf numFmtId="0" fontId="3" fillId="0" borderId="11" xfId="0" applyFont="1" applyBorder="1" applyAlignment="1">
      <alignment vertical="center" wrapText="1"/>
    </xf>
    <xf numFmtId="0" fontId="3"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1" fillId="0" borderId="11" xfId="0" applyFont="1" applyBorder="1" applyAlignment="1">
      <alignment vertical="center" wrapText="1"/>
    </xf>
    <xf numFmtId="0" fontId="1" fillId="0" borderId="12" xfId="0" applyFont="1" applyBorder="1" applyAlignment="1">
      <alignment vertical="center" wrapText="1"/>
    </xf>
    <xf numFmtId="0" fontId="11" fillId="0" borderId="12" xfId="0" applyFont="1" applyBorder="1" applyAlignment="1">
      <alignment vertical="center" wrapText="1"/>
    </xf>
    <xf numFmtId="0" fontId="3" fillId="0" borderId="12" xfId="0" applyFont="1" applyBorder="1" applyAlignment="1">
      <alignment vertical="center" wrapText="1"/>
    </xf>
    <xf numFmtId="0" fontId="1" fillId="3" borderId="11" xfId="0" applyFont="1" applyFill="1" applyBorder="1" applyAlignment="1">
      <alignment horizontal="left" vertical="center" wrapText="1"/>
    </xf>
    <xf numFmtId="0" fontId="1" fillId="0" borderId="11" xfId="0" applyFont="1" applyBorder="1" applyAlignment="1">
      <alignment horizontal="left" vertical="center" wrapText="1"/>
    </xf>
    <xf numFmtId="0" fontId="3" fillId="0" borderId="11" xfId="0" quotePrefix="1" applyFont="1" applyBorder="1" applyAlignment="1">
      <alignment horizontal="left" vertical="center" wrapText="1"/>
    </xf>
    <xf numFmtId="0" fontId="3" fillId="0" borderId="11" xfId="0" applyFont="1" applyBorder="1" applyAlignment="1">
      <alignment horizontal="left" vertical="center" wrapText="1"/>
    </xf>
    <xf numFmtId="0" fontId="1" fillId="3" borderId="11" xfId="0" applyFont="1" applyFill="1" applyBorder="1" applyAlignment="1">
      <alignment vertical="center" wrapText="1"/>
    </xf>
    <xf numFmtId="0" fontId="1" fillId="4" borderId="11" xfId="0" applyFont="1" applyFill="1" applyBorder="1" applyAlignment="1">
      <alignment vertical="center" wrapText="1"/>
    </xf>
    <xf numFmtId="0" fontId="3" fillId="4" borderId="11" xfId="0" applyFont="1" applyFill="1" applyBorder="1" applyAlignment="1">
      <alignment vertical="center" wrapText="1"/>
    </xf>
    <xf numFmtId="0" fontId="3" fillId="0" borderId="11" xfId="0" applyFont="1" applyBorder="1" applyAlignment="1">
      <alignment horizontal="center" wrapText="1"/>
    </xf>
    <xf numFmtId="0" fontId="1" fillId="0" borderId="11" xfId="0" applyFont="1" applyBorder="1" applyAlignment="1">
      <alignment horizontal="center" wrapText="1"/>
    </xf>
    <xf numFmtId="0" fontId="6" fillId="0" borderId="11" xfId="0" applyFont="1" applyBorder="1" applyAlignment="1">
      <alignment horizontal="center" wrapText="1"/>
    </xf>
    <xf numFmtId="0" fontId="7" fillId="0" borderId="11" xfId="0" applyFont="1" applyBorder="1"/>
    <xf numFmtId="0" fontId="12" fillId="0" borderId="0" xfId="0" applyFont="1"/>
    <xf numFmtId="0" fontId="6" fillId="0" borderId="0" xfId="0" applyFont="1" applyAlignment="1">
      <alignment horizontal="center"/>
    </xf>
    <xf numFmtId="0" fontId="7" fillId="0" borderId="17" xfId="0" applyFont="1" applyBorder="1"/>
    <xf numFmtId="0" fontId="7" fillId="0" borderId="17" xfId="0" applyFont="1" applyBorder="1" applyAlignment="1"/>
    <xf numFmtId="0" fontId="7" fillId="0" borderId="17" xfId="0" applyFont="1" applyBorder="1" applyAlignment="1">
      <alignment horizontal="right"/>
    </xf>
    <xf numFmtId="0" fontId="7" fillId="5" borderId="0" xfId="0" applyFont="1" applyFill="1" applyAlignment="1"/>
    <xf numFmtId="0" fontId="3" fillId="0" borderId="0" xfId="0" applyFont="1"/>
    <xf numFmtId="0" fontId="11" fillId="0" borderId="0" xfId="0" applyFont="1" applyAlignment="1"/>
    <xf numFmtId="0" fontId="14" fillId="0" borderId="0" xfId="0" applyFont="1" applyAlignment="1">
      <alignment vertical="center" wrapText="1"/>
    </xf>
    <xf numFmtId="0" fontId="15" fillId="0" borderId="0" xfId="0" applyFont="1" applyAlignment="1">
      <alignment vertical="center"/>
    </xf>
    <xf numFmtId="0" fontId="8" fillId="6" borderId="11" xfId="0" applyFont="1" applyFill="1" applyBorder="1" applyAlignment="1">
      <alignment horizontal="center" vertical="center" wrapText="1"/>
    </xf>
    <xf numFmtId="0" fontId="8" fillId="7" borderId="11" xfId="0" applyFont="1" applyFill="1" applyBorder="1" applyAlignment="1">
      <alignment horizontal="center" vertical="center" wrapText="1"/>
    </xf>
    <xf numFmtId="0" fontId="16" fillId="0" borderId="12" xfId="0" applyFont="1" applyBorder="1" applyAlignment="1">
      <alignment horizontal="center" vertical="center" wrapText="1"/>
    </xf>
    <xf numFmtId="0" fontId="16" fillId="0" borderId="22" xfId="0" applyFont="1" applyBorder="1" applyAlignment="1">
      <alignment horizontal="left" vertical="center" wrapText="1"/>
    </xf>
    <xf numFmtId="0" fontId="16" fillId="0" borderId="22" xfId="0" applyFont="1" applyBorder="1" applyAlignment="1">
      <alignment horizontal="center" vertical="center" wrapText="1"/>
    </xf>
    <xf numFmtId="0" fontId="17" fillId="0" borderId="22" xfId="0" applyFont="1" applyBorder="1" applyAlignment="1">
      <alignment horizontal="center" vertical="center" wrapText="1"/>
    </xf>
    <xf numFmtId="0" fontId="16" fillId="0" borderId="11" xfId="0" applyFont="1" applyBorder="1" applyAlignment="1">
      <alignment horizontal="center" vertical="center" wrapText="1"/>
    </xf>
    <xf numFmtId="0" fontId="14" fillId="0" borderId="22" xfId="0" applyFont="1" applyBorder="1" applyAlignment="1">
      <alignment vertical="center" wrapText="1"/>
    </xf>
    <xf numFmtId="0" fontId="17" fillId="0" borderId="11" xfId="0" applyFont="1" applyBorder="1" applyAlignment="1">
      <alignment horizontal="center" vertical="center" wrapText="1"/>
    </xf>
    <xf numFmtId="0" fontId="13" fillId="0" borderId="11" xfId="0" applyFont="1" applyBorder="1" applyAlignment="1">
      <alignment horizontal="left" vertical="center" wrapText="1"/>
    </xf>
    <xf numFmtId="0" fontId="17" fillId="0" borderId="11" xfId="0" applyFont="1" applyBorder="1" applyAlignment="1">
      <alignment horizontal="center" vertical="center" wrapText="1"/>
    </xf>
    <xf numFmtId="0" fontId="14" fillId="0" borderId="11" xfId="0" applyFont="1" applyBorder="1" applyAlignment="1">
      <alignment vertical="center" wrapText="1"/>
    </xf>
    <xf numFmtId="0" fontId="14" fillId="0" borderId="11" xfId="0" applyFont="1" applyBorder="1" applyAlignment="1">
      <alignment vertical="center" wrapText="1"/>
    </xf>
    <xf numFmtId="0" fontId="18" fillId="8" borderId="11" xfId="0" applyFont="1" applyFill="1" applyBorder="1" applyAlignment="1">
      <alignment horizontal="left" vertical="center" wrapText="1"/>
    </xf>
    <xf numFmtId="0" fontId="17" fillId="8" borderId="11" xfId="0" applyFont="1" applyFill="1" applyBorder="1" applyAlignment="1">
      <alignment horizontal="center" vertical="center" wrapText="1"/>
    </xf>
    <xf numFmtId="0" fontId="11" fillId="0" borderId="11" xfId="0" applyFont="1" applyBorder="1" applyAlignment="1">
      <alignment vertical="center" wrapText="1"/>
    </xf>
    <xf numFmtId="0" fontId="15" fillId="0" borderId="0" xfId="0" applyFont="1" applyAlignment="1">
      <alignment vertical="center"/>
    </xf>
    <xf numFmtId="0" fontId="16"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14" fillId="0" borderId="11" xfId="0" applyFont="1" applyBorder="1" applyAlignment="1">
      <alignment horizontal="left" vertical="center" wrapText="1"/>
    </xf>
    <xf numFmtId="0" fontId="19" fillId="0" borderId="11" xfId="0" applyFont="1" applyBorder="1" applyAlignment="1">
      <alignment horizontal="left" vertical="center" wrapText="1"/>
    </xf>
    <xf numFmtId="0" fontId="17" fillId="9" borderId="11" xfId="0" applyFont="1" applyFill="1" applyBorder="1" applyAlignment="1">
      <alignment horizontal="center" vertical="center" wrapText="1"/>
    </xf>
    <xf numFmtId="0" fontId="13" fillId="9" borderId="11" xfId="0" applyFont="1" applyFill="1" applyBorder="1" applyAlignment="1">
      <alignment horizontal="left" vertical="center" wrapText="1"/>
    </xf>
    <xf numFmtId="0" fontId="14" fillId="9" borderId="11" xfId="0" applyFont="1" applyFill="1" applyBorder="1" applyAlignment="1">
      <alignment horizontal="center" vertical="center" wrapText="1"/>
    </xf>
    <xf numFmtId="0" fontId="17" fillId="9" borderId="11" xfId="0" applyFont="1" applyFill="1" applyBorder="1" applyAlignment="1">
      <alignment horizontal="center" vertical="center" wrapText="1"/>
    </xf>
    <xf numFmtId="0" fontId="14" fillId="9" borderId="11" xfId="0" applyFont="1" applyFill="1" applyBorder="1" applyAlignment="1">
      <alignment horizontal="right" vertical="center" wrapText="1"/>
    </xf>
    <xf numFmtId="0" fontId="14" fillId="9" borderId="11" xfId="0" applyFont="1" applyFill="1" applyBorder="1" applyAlignment="1">
      <alignment horizontal="left" vertical="center" wrapText="1"/>
    </xf>
    <xf numFmtId="0" fontId="15" fillId="9" borderId="0" xfId="0" applyFont="1" applyFill="1" applyAlignment="1">
      <alignment vertical="center"/>
    </xf>
    <xf numFmtId="0" fontId="13" fillId="0" borderId="11" xfId="0" applyFont="1" applyBorder="1" applyAlignment="1">
      <alignment horizontal="center" vertical="center" wrapText="1"/>
    </xf>
    <xf numFmtId="0" fontId="13" fillId="8" borderId="11" xfId="0" applyFont="1" applyFill="1" applyBorder="1" applyAlignment="1">
      <alignment horizontal="center" vertical="center" wrapText="1"/>
    </xf>
    <xf numFmtId="0" fontId="18" fillId="0" borderId="11" xfId="0" applyFont="1" applyBorder="1" applyAlignment="1">
      <alignment horizontal="left" vertical="center" wrapText="1"/>
    </xf>
    <xf numFmtId="0" fontId="20" fillId="5" borderId="11" xfId="0" applyFont="1" applyFill="1" applyBorder="1" applyAlignment="1">
      <alignment vertical="center" wrapText="1"/>
    </xf>
    <xf numFmtId="0" fontId="13" fillId="8" borderId="11"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13" fillId="9" borderId="11" xfId="0" applyFont="1" applyFill="1" applyBorder="1" applyAlignment="1">
      <alignment horizontal="center" vertical="center" wrapText="1"/>
    </xf>
    <xf numFmtId="0" fontId="17" fillId="8" borderId="11" xfId="0" applyFont="1" applyFill="1" applyBorder="1" applyAlignment="1">
      <alignment horizontal="left" vertical="center" wrapText="1"/>
    </xf>
    <xf numFmtId="0" fontId="13" fillId="10" borderId="11" xfId="0" applyFont="1" applyFill="1" applyBorder="1" applyAlignment="1">
      <alignment horizontal="left" vertical="center" wrapText="1"/>
    </xf>
    <xf numFmtId="0" fontId="13" fillId="10" borderId="11" xfId="0" applyFont="1" applyFill="1" applyBorder="1" applyAlignment="1">
      <alignment horizontal="center" vertical="center" wrapText="1"/>
    </xf>
    <xf numFmtId="0" fontId="14" fillId="10" borderId="11" xfId="0" applyFont="1" applyFill="1" applyBorder="1" applyAlignment="1">
      <alignment horizontal="right" vertical="center" wrapText="1"/>
    </xf>
    <xf numFmtId="0" fontId="13" fillId="10" borderId="11" xfId="0" applyFont="1" applyFill="1" applyBorder="1" applyAlignment="1">
      <alignment horizontal="center" vertical="center" wrapText="1"/>
    </xf>
    <xf numFmtId="0" fontId="17" fillId="10" borderId="11" xfId="0" applyFont="1" applyFill="1" applyBorder="1" applyAlignment="1">
      <alignment horizontal="center" vertical="center" wrapText="1"/>
    </xf>
    <xf numFmtId="0" fontId="14" fillId="10" borderId="11" xfId="0" applyFont="1" applyFill="1" applyBorder="1" applyAlignment="1">
      <alignment horizontal="left" vertical="center" wrapText="1"/>
    </xf>
    <xf numFmtId="0" fontId="6" fillId="0" borderId="11"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1" xfId="0" applyFont="1" applyBorder="1" applyAlignment="1">
      <alignment horizontal="center" vertical="center" wrapText="1"/>
    </xf>
    <xf numFmtId="0" fontId="21" fillId="8" borderId="11" xfId="0" applyFont="1" applyFill="1" applyBorder="1" applyAlignment="1">
      <alignment horizontal="center" vertical="center" wrapText="1"/>
    </xf>
    <xf numFmtId="0" fontId="21" fillId="0" borderId="11" xfId="0" applyFont="1" applyBorder="1" applyAlignment="1">
      <alignment vertical="center" wrapText="1"/>
    </xf>
    <xf numFmtId="0" fontId="13" fillId="5" borderId="11" xfId="0" applyFont="1" applyFill="1" applyBorder="1" applyAlignment="1">
      <alignment horizontal="left" vertical="center" wrapText="1"/>
    </xf>
    <xf numFmtId="0" fontId="11" fillId="8" borderId="11"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16" fillId="9" borderId="11" xfId="0" applyFont="1" applyFill="1" applyBorder="1" applyAlignment="1">
      <alignment horizontal="center" vertical="center" wrapText="1"/>
    </xf>
    <xf numFmtId="0" fontId="18" fillId="10" borderId="11" xfId="0" applyFont="1" applyFill="1" applyBorder="1" applyAlignment="1">
      <alignment horizontal="left" vertical="center" wrapText="1"/>
    </xf>
    <xf numFmtId="0" fontId="21" fillId="10" borderId="11" xfId="0" applyFont="1" applyFill="1" applyBorder="1" applyAlignment="1">
      <alignment horizontal="center" vertical="center" wrapText="1"/>
    </xf>
    <xf numFmtId="0" fontId="14" fillId="10" borderId="11" xfId="0" applyFont="1" applyFill="1" applyBorder="1" applyAlignment="1">
      <alignment vertical="center" wrapText="1"/>
    </xf>
    <xf numFmtId="0" fontId="16" fillId="5" borderId="11" xfId="0" applyFont="1" applyFill="1" applyBorder="1" applyAlignment="1">
      <alignment horizontal="left" vertical="center" wrapText="1"/>
    </xf>
    <xf numFmtId="0" fontId="16" fillId="9" borderId="11" xfId="0" applyFont="1" applyFill="1" applyBorder="1" applyAlignment="1">
      <alignment horizontal="center" vertical="center" wrapText="1"/>
    </xf>
    <xf numFmtId="0" fontId="22" fillId="5" borderId="11" xfId="0" applyFont="1" applyFill="1" applyBorder="1" applyAlignment="1">
      <alignment horizontal="center" vertical="center" wrapText="1"/>
    </xf>
    <xf numFmtId="0" fontId="23" fillId="0" borderId="11" xfId="0" applyFont="1" applyBorder="1" applyAlignment="1">
      <alignment vertical="center" wrapText="1"/>
    </xf>
    <xf numFmtId="0" fontId="14" fillId="5" borderId="11" xfId="0" applyFont="1" applyFill="1" applyBorder="1" applyAlignment="1">
      <alignment vertical="center" wrapText="1"/>
    </xf>
    <xf numFmtId="0" fontId="21" fillId="5" borderId="11" xfId="0" applyFont="1" applyFill="1" applyBorder="1" applyAlignment="1">
      <alignment horizontal="center" vertical="center" wrapText="1"/>
    </xf>
    <xf numFmtId="0" fontId="14" fillId="0" borderId="11" xfId="0" applyFont="1" applyBorder="1" applyAlignment="1">
      <alignment horizontal="center" vertical="center" wrapText="1"/>
    </xf>
    <xf numFmtId="0" fontId="21" fillId="5" borderId="11" xfId="0" applyFont="1" applyFill="1" applyBorder="1" applyAlignment="1">
      <alignment horizontal="left" vertical="center" wrapText="1"/>
    </xf>
    <xf numFmtId="0" fontId="21" fillId="5" borderId="11" xfId="0" applyFont="1" applyFill="1" applyBorder="1" applyAlignment="1">
      <alignment horizontal="center" vertical="center" wrapText="1"/>
    </xf>
    <xf numFmtId="0" fontId="21" fillId="8" borderId="11" xfId="0" applyFont="1" applyFill="1" applyBorder="1" applyAlignment="1">
      <alignment horizontal="left" vertical="center" wrapText="1"/>
    </xf>
    <xf numFmtId="0" fontId="21" fillId="8" borderId="11" xfId="0" applyFont="1" applyFill="1" applyBorder="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vertical="center" wrapText="1"/>
    </xf>
    <xf numFmtId="0" fontId="25" fillId="0" borderId="11" xfId="0" applyFont="1" applyBorder="1" applyAlignment="1">
      <alignment horizontal="center" vertical="center" wrapText="1"/>
    </xf>
    <xf numFmtId="0" fontId="26" fillId="0" borderId="11" xfId="0" applyFont="1" applyBorder="1" applyAlignment="1">
      <alignment vertical="center" wrapText="1"/>
    </xf>
    <xf numFmtId="0" fontId="3" fillId="0" borderId="0" xfId="0" applyFont="1" applyAlignment="1"/>
    <xf numFmtId="0" fontId="3" fillId="0" borderId="17" xfId="0" applyFont="1" applyBorder="1"/>
    <xf numFmtId="0" fontId="3" fillId="0" borderId="17" xfId="0" applyFont="1" applyBorder="1" applyAlignment="1"/>
    <xf numFmtId="0" fontId="3" fillId="0" borderId="22" xfId="0" applyFont="1" applyBorder="1"/>
    <xf numFmtId="0" fontId="1" fillId="0" borderId="22" xfId="0" applyFont="1" applyBorder="1" applyAlignment="1">
      <alignment horizontal="center" wrapText="1"/>
    </xf>
    <xf numFmtId="0" fontId="11" fillId="3" borderId="11" xfId="0" applyFont="1" applyFill="1" applyBorder="1" applyAlignment="1">
      <alignment wrapText="1"/>
    </xf>
    <xf numFmtId="0" fontId="6" fillId="3" borderId="11" xfId="0" applyFont="1" applyFill="1" applyBorder="1" applyAlignment="1">
      <alignment horizontal="center" wrapText="1"/>
    </xf>
    <xf numFmtId="0" fontId="3" fillId="3" borderId="22" xfId="0" applyFont="1" applyFill="1" applyBorder="1"/>
    <xf numFmtId="0" fontId="11" fillId="0" borderId="11" xfId="0" applyFont="1" applyBorder="1" applyAlignment="1">
      <alignment wrapText="1"/>
    </xf>
    <xf numFmtId="0" fontId="1" fillId="0" borderId="11" xfId="0" applyFont="1" applyBorder="1" applyAlignment="1">
      <alignment wrapText="1"/>
    </xf>
    <xf numFmtId="0" fontId="1" fillId="0" borderId="12" xfId="0" applyFont="1" applyBorder="1" applyAlignment="1">
      <alignment wrapText="1"/>
    </xf>
    <xf numFmtId="0" fontId="11" fillId="0" borderId="12" xfId="0" applyFont="1" applyBorder="1" applyAlignment="1">
      <alignment wrapText="1"/>
    </xf>
    <xf numFmtId="0" fontId="6" fillId="3" borderId="22" xfId="0" applyFont="1" applyFill="1" applyBorder="1" applyAlignment="1">
      <alignment horizontal="center" wrapText="1"/>
    </xf>
    <xf numFmtId="0" fontId="1" fillId="0" borderId="22" xfId="0" applyFont="1" applyBorder="1" applyAlignment="1">
      <alignment horizontal="center"/>
    </xf>
    <xf numFmtId="0" fontId="3" fillId="0" borderId="22" xfId="0" applyFont="1" applyBorder="1" applyAlignment="1">
      <alignment horizontal="center" wrapText="1"/>
    </xf>
    <xf numFmtId="0" fontId="11" fillId="3" borderId="12" xfId="0" applyFont="1" applyFill="1" applyBorder="1" applyAlignment="1">
      <alignment wrapText="1"/>
    </xf>
    <xf numFmtId="0" fontId="3" fillId="0" borderId="11" xfId="0" applyFont="1" applyBorder="1" applyAlignment="1">
      <alignment wrapText="1"/>
    </xf>
    <xf numFmtId="0" fontId="3" fillId="4" borderId="11" xfId="0" applyFont="1" applyFill="1" applyBorder="1" applyAlignment="1">
      <alignment horizontal="center" vertical="center" wrapText="1"/>
    </xf>
    <xf numFmtId="0" fontId="9" fillId="0" borderId="11" xfId="0" applyFont="1" applyBorder="1" applyAlignment="1">
      <alignment wrapText="1"/>
    </xf>
    <xf numFmtId="0" fontId="9" fillId="0" borderId="11" xfId="0" applyFont="1" applyBorder="1" applyAlignment="1">
      <alignment horizontal="center" wrapText="1"/>
    </xf>
    <xf numFmtId="0" fontId="27" fillId="0" borderId="11" xfId="0" applyFont="1" applyBorder="1" applyAlignment="1">
      <alignment horizontal="center" wrapText="1"/>
    </xf>
    <xf numFmtId="0" fontId="28" fillId="0" borderId="11" xfId="0" applyFont="1" applyBorder="1" applyAlignment="1">
      <alignment horizontal="center" wrapText="1"/>
    </xf>
    <xf numFmtId="0" fontId="7" fillId="0" borderId="22" xfId="0" applyFont="1" applyBorder="1"/>
    <xf numFmtId="0" fontId="7" fillId="3" borderId="22" xfId="0" applyFont="1" applyFill="1" applyBorder="1"/>
    <xf numFmtId="0" fontId="1" fillId="3" borderId="12" xfId="0" applyFont="1" applyFill="1" applyBorder="1" applyAlignment="1">
      <alignment wrapText="1"/>
    </xf>
    <xf numFmtId="0" fontId="3" fillId="0" borderId="12" xfId="0" applyFont="1" applyBorder="1" applyAlignment="1">
      <alignment vertical="top" wrapText="1"/>
    </xf>
    <xf numFmtId="0" fontId="29" fillId="4" borderId="0" xfId="0" applyFont="1" applyFill="1"/>
    <xf numFmtId="0" fontId="1" fillId="0" borderId="24" xfId="0" applyFont="1" applyBorder="1" applyAlignment="1">
      <alignment horizontal="center" vertical="center" wrapText="1"/>
    </xf>
    <xf numFmtId="0" fontId="1" fillId="0" borderId="1" xfId="0" applyFont="1" applyBorder="1" applyAlignment="1">
      <alignment horizontal="left" vertical="center" wrapText="1"/>
    </xf>
    <xf numFmtId="0" fontId="3" fillId="0" borderId="24" xfId="0" applyFont="1" applyBorder="1" applyAlignment="1">
      <alignment horizontal="center" vertical="center" wrapText="1"/>
    </xf>
    <xf numFmtId="0" fontId="1" fillId="4" borderId="9" xfId="0" applyFont="1" applyFill="1" applyBorder="1" applyAlignment="1">
      <alignment vertical="center" wrapText="1"/>
    </xf>
    <xf numFmtId="0" fontId="1" fillId="4" borderId="1" xfId="0" applyFont="1" applyFill="1" applyBorder="1" applyAlignment="1">
      <alignment horizontal="left" vertical="center" wrapText="1"/>
    </xf>
    <xf numFmtId="0" fontId="3" fillId="0" borderId="9" xfId="0" quotePrefix="1" applyFont="1" applyBorder="1" applyAlignment="1">
      <alignment horizontal="left" vertical="center" wrapText="1"/>
    </xf>
    <xf numFmtId="0" fontId="1" fillId="0" borderId="25" xfId="0" applyFont="1" applyBorder="1" applyAlignment="1">
      <alignment horizontal="left" vertical="center" wrapText="1"/>
    </xf>
    <xf numFmtId="0" fontId="6" fillId="0" borderId="4" xfId="0" applyFont="1" applyBorder="1" applyAlignment="1">
      <alignment horizontal="center" vertical="center" wrapText="1"/>
    </xf>
    <xf numFmtId="0" fontId="6" fillId="0" borderId="25" xfId="0" applyFont="1" applyBorder="1" applyAlignment="1">
      <alignment horizontal="center" vertical="center" wrapText="1"/>
    </xf>
    <xf numFmtId="0" fontId="1" fillId="0" borderId="25" xfId="0" applyFont="1" applyBorder="1" applyAlignment="1">
      <alignment horizontal="center" vertical="center" wrapText="1"/>
    </xf>
    <xf numFmtId="0" fontId="2" fillId="0" borderId="4" xfId="0" applyFont="1" applyBorder="1" applyAlignment="1">
      <alignment horizontal="center" vertical="center" wrapText="1"/>
    </xf>
    <xf numFmtId="0" fontId="8" fillId="0" borderId="0" xfId="0" applyFont="1" applyAlignment="1">
      <alignment wrapText="1"/>
    </xf>
    <xf numFmtId="0" fontId="7" fillId="0" borderId="26" xfId="0" applyFont="1" applyBorder="1"/>
    <xf numFmtId="0" fontId="2" fillId="0" borderId="10" xfId="0" applyFont="1" applyBorder="1" applyAlignment="1">
      <alignment vertical="center" wrapText="1"/>
    </xf>
    <xf numFmtId="0" fontId="9" fillId="0" borderId="0" xfId="0" applyFont="1" applyAlignment="1">
      <alignment wrapText="1"/>
    </xf>
    <xf numFmtId="0" fontId="27" fillId="0" borderId="26" xfId="0" applyFont="1" applyBorder="1" applyAlignment="1">
      <alignment horizontal="center" wrapText="1"/>
    </xf>
    <xf numFmtId="0" fontId="9" fillId="0" borderId="26" xfId="0" applyFont="1" applyBorder="1" applyAlignment="1">
      <alignment horizontal="center" wrapText="1"/>
    </xf>
    <xf numFmtId="0" fontId="9" fillId="0" borderId="9" xfId="0" applyFont="1" applyBorder="1" applyAlignment="1">
      <alignment horizontal="center" wrapText="1"/>
    </xf>
    <xf numFmtId="0" fontId="9" fillId="0" borderId="27" xfId="0" applyFont="1" applyBorder="1" applyAlignment="1">
      <alignment vertical="top" wrapText="1"/>
    </xf>
    <xf numFmtId="0" fontId="2" fillId="0" borderId="6" xfId="0" applyFont="1" applyBorder="1" applyAlignment="1">
      <alignment vertical="center" wrapText="1"/>
    </xf>
    <xf numFmtId="0" fontId="8" fillId="0" borderId="28" xfId="0" applyFont="1" applyBorder="1" applyAlignment="1">
      <alignment wrapText="1"/>
    </xf>
    <xf numFmtId="0" fontId="7" fillId="0" borderId="1" xfId="0" applyFont="1" applyBorder="1"/>
    <xf numFmtId="0" fontId="27" fillId="0" borderId="9" xfId="0" applyFont="1" applyBorder="1" applyAlignment="1">
      <alignment horizontal="center" wrapText="1"/>
    </xf>
    <xf numFmtId="0" fontId="9" fillId="0" borderId="27" xfId="0" applyFont="1" applyBorder="1" applyAlignment="1">
      <alignment wrapText="1"/>
    </xf>
    <xf numFmtId="0" fontId="9" fillId="0" borderId="5" xfId="0" applyFont="1" applyBorder="1" applyAlignment="1">
      <alignment horizontal="center" wrapText="1"/>
    </xf>
    <xf numFmtId="0" fontId="27" fillId="0" borderId="28" xfId="0" applyFont="1" applyBorder="1" applyAlignment="1">
      <alignment wrapText="1"/>
    </xf>
    <xf numFmtId="0" fontId="1" fillId="0" borderId="29" xfId="0" applyFont="1" applyBorder="1" applyAlignment="1">
      <alignment vertical="center" wrapText="1"/>
    </xf>
    <xf numFmtId="0" fontId="1" fillId="0" borderId="30" xfId="0" applyFont="1" applyBorder="1" applyAlignment="1">
      <alignment vertical="center" wrapText="1"/>
    </xf>
    <xf numFmtId="0" fontId="2" fillId="0" borderId="24" xfId="0" applyFont="1" applyBorder="1" applyAlignment="1">
      <alignment vertical="center" wrapText="1"/>
    </xf>
    <xf numFmtId="0" fontId="9" fillId="0" borderId="26" xfId="0" applyFont="1" applyBorder="1" applyAlignment="1">
      <alignment wrapText="1"/>
    </xf>
    <xf numFmtId="0" fontId="1" fillId="0" borderId="26" xfId="0" applyFont="1" applyBorder="1" applyAlignment="1">
      <alignment vertical="center" wrapText="1"/>
    </xf>
    <xf numFmtId="0" fontId="1" fillId="0" borderId="0" xfId="0" applyFont="1" applyAlignment="1">
      <alignment vertical="center" wrapText="1"/>
    </xf>
    <xf numFmtId="0" fontId="9" fillId="0" borderId="29" xfId="0" applyFont="1" applyBorder="1" applyAlignment="1">
      <alignment wrapText="1"/>
    </xf>
    <xf numFmtId="0" fontId="27" fillId="0" borderId="1" xfId="0" applyFont="1" applyBorder="1" applyAlignment="1">
      <alignment horizontal="center" wrapText="1"/>
    </xf>
    <xf numFmtId="0" fontId="27" fillId="0" borderId="30" xfId="0" applyFont="1" applyBorder="1" applyAlignment="1">
      <alignment horizontal="center" wrapText="1"/>
    </xf>
    <xf numFmtId="0" fontId="27" fillId="0" borderId="24" xfId="0" applyFont="1" applyBorder="1" applyAlignment="1">
      <alignment horizontal="center" wrapText="1"/>
    </xf>
    <xf numFmtId="0" fontId="27" fillId="0" borderId="0" xfId="0" applyFont="1" applyAlignment="1">
      <alignment horizontal="center" wrapText="1"/>
    </xf>
    <xf numFmtId="0" fontId="27" fillId="0" borderId="10" xfId="0" applyFont="1" applyBorder="1" applyAlignment="1">
      <alignment horizontal="center" wrapText="1"/>
    </xf>
    <xf numFmtId="0" fontId="27" fillId="0" borderId="30" xfId="0" applyFont="1" applyBorder="1" applyAlignment="1">
      <alignment wrapText="1"/>
    </xf>
    <xf numFmtId="0" fontId="9" fillId="0" borderId="1" xfId="0" applyFont="1" applyBorder="1" applyAlignment="1">
      <alignment horizontal="center" wrapText="1"/>
    </xf>
    <xf numFmtId="0" fontId="27" fillId="0" borderId="0" xfId="0" applyFont="1" applyAlignment="1">
      <alignment wrapText="1"/>
    </xf>
    <xf numFmtId="0" fontId="27" fillId="0" borderId="16" xfId="0" applyFont="1" applyBorder="1" applyAlignment="1">
      <alignment wrapText="1"/>
    </xf>
    <xf numFmtId="0" fontId="7" fillId="0" borderId="5" xfId="0" applyFont="1" applyBorder="1"/>
    <xf numFmtId="0" fontId="27" fillId="0" borderId="2" xfId="0" applyFont="1" applyBorder="1" applyAlignment="1">
      <alignment horizontal="center" wrapText="1"/>
    </xf>
    <xf numFmtId="0" fontId="27" fillId="0" borderId="4" xfId="0" applyFont="1" applyBorder="1" applyAlignment="1">
      <alignment horizontal="center" wrapText="1"/>
    </xf>
    <xf numFmtId="0" fontId="9" fillId="0" borderId="13" xfId="0" applyFont="1" applyBorder="1" applyAlignment="1">
      <alignment wrapText="1"/>
    </xf>
    <xf numFmtId="0" fontId="27" fillId="0" borderId="31" xfId="0" applyFont="1" applyBorder="1" applyAlignment="1">
      <alignment horizontal="center" wrapText="1"/>
    </xf>
    <xf numFmtId="0" fontId="27" fillId="0" borderId="22" xfId="0" applyFont="1" applyBorder="1" applyAlignment="1">
      <alignment horizontal="center" wrapText="1"/>
    </xf>
    <xf numFmtId="0" fontId="27" fillId="0" borderId="32" xfId="0" applyFont="1" applyBorder="1" applyAlignment="1">
      <alignment horizontal="center" wrapText="1"/>
    </xf>
    <xf numFmtId="0" fontId="9" fillId="0" borderId="31" xfId="0" applyFont="1" applyBorder="1" applyAlignment="1">
      <alignment horizontal="center" wrapText="1"/>
    </xf>
    <xf numFmtId="0" fontId="1" fillId="0" borderId="4" xfId="0" applyFont="1" applyBorder="1" applyAlignment="1">
      <alignment horizontal="center" vertical="center" wrapText="1"/>
    </xf>
    <xf numFmtId="0" fontId="3" fillId="0" borderId="4" xfId="0" applyFont="1" applyBorder="1" applyAlignment="1">
      <alignment horizontal="center" vertical="center" wrapText="1"/>
    </xf>
    <xf numFmtId="0" fontId="6" fillId="2" borderId="34" xfId="0" applyFont="1" applyFill="1" applyBorder="1" applyAlignment="1">
      <alignment horizontal="center" vertical="center" wrapText="1"/>
    </xf>
    <xf numFmtId="0" fontId="11" fillId="0" borderId="18" xfId="0" applyFont="1" applyBorder="1" applyAlignment="1">
      <alignment horizontal="left" wrapText="1"/>
    </xf>
    <xf numFmtId="0" fontId="11" fillId="0" borderId="23" xfId="0" applyFont="1" applyBorder="1" applyAlignment="1">
      <alignment horizontal="left"/>
    </xf>
    <xf numFmtId="0" fontId="1" fillId="11" borderId="25" xfId="0" applyFont="1" applyFill="1" applyBorder="1" applyAlignment="1">
      <alignment horizontal="center" vertical="center" wrapText="1"/>
    </xf>
    <xf numFmtId="0" fontId="3" fillId="11" borderId="4" xfId="0" applyFont="1" applyFill="1" applyBorder="1" applyAlignment="1">
      <alignment horizontal="center" vertical="center" wrapText="1"/>
    </xf>
    <xf numFmtId="0" fontId="5" fillId="0" borderId="22" xfId="0" applyFont="1" applyBorder="1" applyAlignment="1">
      <alignment horizontal="center" wrapText="1"/>
    </xf>
    <xf numFmtId="0" fontId="8" fillId="2" borderId="12" xfId="0" applyFont="1" applyFill="1" applyBorder="1" applyAlignment="1">
      <alignment wrapText="1"/>
    </xf>
    <xf numFmtId="0" fontId="28" fillId="2" borderId="22" xfId="0" applyFont="1" applyFill="1" applyBorder="1" applyAlignment="1">
      <alignment horizontal="center" wrapText="1"/>
    </xf>
    <xf numFmtId="0" fontId="7" fillId="2" borderId="22" xfId="0" applyFont="1" applyFill="1" applyBorder="1"/>
    <xf numFmtId="0" fontId="8" fillId="0" borderId="12" xfId="0" applyFont="1" applyBorder="1" applyAlignment="1">
      <alignment wrapText="1"/>
    </xf>
    <xf numFmtId="0" fontId="9" fillId="0" borderId="22" xfId="0" applyFont="1" applyBorder="1" applyAlignment="1">
      <alignment horizontal="center" wrapText="1"/>
    </xf>
    <xf numFmtId="0" fontId="27" fillId="0" borderId="12" xfId="0" applyFont="1" applyBorder="1" applyAlignment="1">
      <alignment wrapText="1"/>
    </xf>
    <xf numFmtId="0" fontId="27" fillId="2" borderId="12" xfId="0" applyFont="1" applyFill="1" applyBorder="1" applyAlignment="1">
      <alignment wrapText="1"/>
    </xf>
    <xf numFmtId="0" fontId="8" fillId="0" borderId="22" xfId="0" applyFont="1" applyBorder="1" applyAlignment="1">
      <alignment wrapText="1"/>
    </xf>
    <xf numFmtId="0" fontId="31" fillId="0" borderId="12" xfId="0" applyFont="1" applyBorder="1" applyAlignment="1">
      <alignment wrapText="1"/>
    </xf>
    <xf numFmtId="0" fontId="9" fillId="0" borderId="12" xfId="0" applyFont="1" applyBorder="1" applyAlignment="1">
      <alignment vertical="top" wrapText="1"/>
    </xf>
    <xf numFmtId="0" fontId="28" fillId="0" borderId="12" xfId="0" applyFont="1" applyBorder="1" applyAlignment="1">
      <alignment horizontal="center" wrapText="1"/>
    </xf>
    <xf numFmtId="0" fontId="28" fillId="0" borderId="22" xfId="0" applyFont="1" applyBorder="1" applyAlignment="1">
      <alignment horizontal="center" wrapText="1"/>
    </xf>
    <xf numFmtId="0" fontId="2" fillId="0" borderId="0" xfId="0" applyFont="1" applyAlignment="1">
      <alignment horizontal="center" vertical="center"/>
    </xf>
    <xf numFmtId="0" fontId="0" fillId="0" borderId="0" xfId="0" applyFont="1" applyAlignment="1"/>
    <xf numFmtId="0" fontId="1" fillId="0" borderId="0" xfId="0" applyFont="1" applyAlignment="1">
      <alignment horizontal="center" vertical="center"/>
    </xf>
    <xf numFmtId="0" fontId="1" fillId="0" borderId="1" xfId="0" applyFont="1" applyBorder="1" applyAlignment="1">
      <alignment horizontal="center" vertical="center" wrapText="1"/>
    </xf>
    <xf numFmtId="0" fontId="4" fillId="0" borderId="5" xfId="0" applyFont="1" applyBorder="1"/>
    <xf numFmtId="0" fontId="1" fillId="0" borderId="3" xfId="0" applyFont="1" applyBorder="1" applyAlignment="1">
      <alignment horizontal="center" vertical="center" wrapText="1"/>
    </xf>
    <xf numFmtId="0" fontId="4" fillId="0" borderId="2" xfId="0" applyFont="1" applyBorder="1"/>
    <xf numFmtId="0" fontId="4" fillId="0" borderId="4" xfId="0" applyFont="1" applyBorder="1"/>
    <xf numFmtId="0" fontId="3" fillId="0" borderId="16" xfId="0" applyFont="1" applyBorder="1" applyAlignment="1">
      <alignment horizontal="center" vertical="center" wrapText="1"/>
    </xf>
    <xf numFmtId="0" fontId="7" fillId="0" borderId="0" xfId="0" applyFont="1" applyAlignment="1"/>
    <xf numFmtId="0" fontId="2" fillId="0" borderId="0" xfId="0" applyFont="1" applyAlignment="1">
      <alignment horizontal="center"/>
    </xf>
    <xf numFmtId="0" fontId="1" fillId="0" borderId="18" xfId="0" applyFont="1" applyBorder="1" applyAlignment="1">
      <alignment horizontal="center" vertical="center" wrapText="1"/>
    </xf>
    <xf numFmtId="0" fontId="4" fillId="0" borderId="12" xfId="0" applyFont="1" applyBorder="1"/>
    <xf numFmtId="0" fontId="1" fillId="0" borderId="19" xfId="0" applyFont="1" applyBorder="1" applyAlignment="1">
      <alignment horizontal="center" vertical="center" wrapText="1"/>
    </xf>
    <xf numFmtId="0" fontId="4" fillId="0" borderId="20" xfId="0" applyFont="1" applyBorder="1"/>
    <xf numFmtId="0" fontId="4" fillId="0" borderId="21" xfId="0" applyFont="1" applyBorder="1"/>
    <xf numFmtId="0" fontId="1" fillId="3" borderId="13" xfId="0" applyFont="1" applyFill="1" applyBorder="1" applyAlignment="1">
      <alignment horizontal="center"/>
    </xf>
    <xf numFmtId="0" fontId="4" fillId="0" borderId="17" xfId="0" applyFont="1" applyBorder="1"/>
    <xf numFmtId="0" fontId="4" fillId="0" borderId="22" xfId="0" applyFont="1" applyBorder="1"/>
    <xf numFmtId="0" fontId="8" fillId="7" borderId="20" xfId="0" applyFont="1" applyFill="1" applyBorder="1" applyAlignment="1">
      <alignment horizontal="center" vertical="center" wrapText="1"/>
    </xf>
    <xf numFmtId="0" fontId="8" fillId="7" borderId="18" xfId="0" applyFont="1" applyFill="1" applyBorder="1" applyAlignment="1">
      <alignment horizontal="center" vertical="center" wrapText="1"/>
    </xf>
    <xf numFmtId="0" fontId="13" fillId="0" borderId="0" xfId="0" applyFont="1" applyAlignment="1">
      <alignment horizontal="center" vertical="center" wrapText="1"/>
    </xf>
    <xf numFmtId="0" fontId="8" fillId="6" borderId="18" xfId="0" applyFont="1" applyFill="1" applyBorder="1" applyAlignment="1">
      <alignment horizontal="center" vertical="center" wrapText="1"/>
    </xf>
    <xf numFmtId="0" fontId="8" fillId="6" borderId="20" xfId="0" applyFont="1" applyFill="1" applyBorder="1" applyAlignment="1">
      <alignment horizontal="center" vertical="center" wrapText="1"/>
    </xf>
    <xf numFmtId="0" fontId="1" fillId="0" borderId="23" xfId="0" applyFont="1" applyBorder="1" applyAlignment="1">
      <alignment horizontal="center" wrapText="1"/>
    </xf>
    <xf numFmtId="0" fontId="1" fillId="0" borderId="17" xfId="0" applyFont="1" applyBorder="1" applyAlignment="1">
      <alignment horizontal="center" wrapText="1"/>
    </xf>
    <xf numFmtId="0" fontId="27" fillId="3" borderId="13" xfId="0" applyFont="1" applyFill="1" applyBorder="1" applyAlignment="1">
      <alignment horizontal="center"/>
    </xf>
    <xf numFmtId="0" fontId="1" fillId="0" borderId="29" xfId="0" applyFont="1" applyBorder="1" applyAlignment="1">
      <alignment horizontal="center" vertical="center" wrapText="1"/>
    </xf>
    <xf numFmtId="0" fontId="4" fillId="0" borderId="33" xfId="0" applyFont="1" applyBorder="1"/>
    <xf numFmtId="0" fontId="5" fillId="0" borderId="1" xfId="0" applyFont="1" applyBorder="1" applyAlignment="1">
      <alignment horizontal="center" vertical="center" wrapText="1"/>
    </xf>
    <xf numFmtId="0" fontId="1" fillId="0" borderId="2" xfId="0" applyFont="1" applyBorder="1" applyAlignment="1">
      <alignment horizontal="center" vertical="center" wrapText="1"/>
    </xf>
    <xf numFmtId="0" fontId="30" fillId="0" borderId="0" xfId="0" applyFont="1" applyAlignment="1">
      <alignment horizontal="center"/>
    </xf>
    <xf numFmtId="0" fontId="1" fillId="0" borderId="0" xfId="0" applyFont="1" applyAlignment="1">
      <alignment horizontal="center"/>
    </xf>
    <xf numFmtId="49" fontId="3" fillId="0" borderId="9" xfId="0" applyNumberFormat="1" applyFont="1" applyBorder="1" applyAlignment="1">
      <alignment vertical="center" wrapText="1"/>
    </xf>
    <xf numFmtId="0" fontId="18" fillId="5" borderId="1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4"/>
  <sheetViews>
    <sheetView workbookViewId="0">
      <selection activeCell="F114" sqref="F114"/>
    </sheetView>
  </sheetViews>
  <sheetFormatPr defaultColWidth="11.25" defaultRowHeight="15" customHeight="1"/>
  <cols>
    <col min="1" max="1" width="63.75" customWidth="1"/>
    <col min="2" max="26" width="10.5" customWidth="1"/>
  </cols>
  <sheetData>
    <row r="1" spans="1:5" ht="15.75" customHeight="1">
      <c r="A1" s="1" t="s">
        <v>0</v>
      </c>
    </row>
    <row r="2" spans="1:5" ht="15.75" customHeight="1">
      <c r="A2" s="2"/>
    </row>
    <row r="3" spans="1:5" ht="15.75" customHeight="1">
      <c r="A3" s="246" t="s">
        <v>1</v>
      </c>
      <c r="B3" s="247"/>
      <c r="C3" s="247"/>
      <c r="D3" s="247"/>
      <c r="E3" s="247"/>
    </row>
    <row r="4" spans="1:5" ht="15.75" customHeight="1">
      <c r="A4" s="248" t="s">
        <v>2</v>
      </c>
      <c r="B4" s="247"/>
      <c r="C4" s="247"/>
      <c r="D4" s="247"/>
      <c r="E4" s="247"/>
    </row>
    <row r="5" spans="1:5" ht="15.75" customHeight="1">
      <c r="A5" s="2"/>
    </row>
    <row r="6" spans="1:5" ht="15.75" customHeight="1">
      <c r="A6" s="3" t="s">
        <v>3</v>
      </c>
    </row>
    <row r="7" spans="1:5" ht="15.75" customHeight="1">
      <c r="A7" s="3" t="s">
        <v>4</v>
      </c>
    </row>
    <row r="8" spans="1:5" ht="15.75" customHeight="1">
      <c r="A8" s="3" t="s">
        <v>5</v>
      </c>
    </row>
    <row r="9" spans="1:5" ht="15.75" customHeight="1">
      <c r="A9" s="3" t="s">
        <v>6</v>
      </c>
    </row>
    <row r="10" spans="1:5" ht="33" customHeight="1">
      <c r="A10" s="249" t="s">
        <v>7</v>
      </c>
      <c r="B10" s="4"/>
      <c r="C10" s="251" t="s">
        <v>8</v>
      </c>
      <c r="D10" s="252"/>
      <c r="E10" s="253"/>
    </row>
    <row r="11" spans="1:5" ht="33.75" customHeight="1">
      <c r="A11" s="250"/>
      <c r="B11" s="5" t="s">
        <v>9</v>
      </c>
      <c r="C11" s="5" t="s">
        <v>10</v>
      </c>
      <c r="D11" s="5" t="s">
        <v>11</v>
      </c>
      <c r="E11" s="5" t="s">
        <v>12</v>
      </c>
    </row>
    <row r="12" spans="1:5" ht="15.75" customHeight="1">
      <c r="A12" s="6" t="s">
        <v>13</v>
      </c>
      <c r="B12" s="7">
        <v>90</v>
      </c>
      <c r="C12" s="8"/>
      <c r="D12" s="8"/>
      <c r="E12" s="8"/>
    </row>
    <row r="13" spans="1:5" ht="31.5" customHeight="1">
      <c r="A13" s="9" t="s">
        <v>508</v>
      </c>
      <c r="B13" s="10"/>
      <c r="C13" s="11"/>
      <c r="D13" s="11"/>
      <c r="E13" s="11"/>
    </row>
    <row r="14" spans="1:5" ht="16.5" customHeight="1">
      <c r="A14" s="12" t="s">
        <v>14</v>
      </c>
      <c r="B14" s="10" t="s">
        <v>15</v>
      </c>
      <c r="C14" s="13"/>
      <c r="D14" s="13"/>
      <c r="E14" s="13"/>
    </row>
    <row r="15" spans="1:5" ht="16.5" customHeight="1">
      <c r="A15" s="12" t="s">
        <v>16</v>
      </c>
      <c r="B15" s="10">
        <v>7</v>
      </c>
      <c r="C15" s="13"/>
      <c r="D15" s="13"/>
      <c r="E15" s="13"/>
    </row>
    <row r="16" spans="1:5" ht="16.5" customHeight="1">
      <c r="A16" s="12" t="s">
        <v>17</v>
      </c>
      <c r="B16" s="10">
        <v>5</v>
      </c>
      <c r="C16" s="13"/>
      <c r="D16" s="13"/>
      <c r="E16" s="13"/>
    </row>
    <row r="17" spans="1:5" ht="15.75" customHeight="1">
      <c r="A17" s="12" t="s">
        <v>18</v>
      </c>
      <c r="B17" s="14">
        <v>0</v>
      </c>
      <c r="C17" s="13"/>
      <c r="D17" s="13"/>
      <c r="E17" s="13"/>
    </row>
    <row r="18" spans="1:5" ht="15.75" customHeight="1">
      <c r="A18" s="9" t="s">
        <v>19</v>
      </c>
      <c r="B18" s="15"/>
      <c r="C18" s="16"/>
      <c r="D18" s="16"/>
      <c r="E18" s="16"/>
    </row>
    <row r="19" spans="1:5" ht="15.75" customHeight="1">
      <c r="A19" s="17" t="s">
        <v>20</v>
      </c>
      <c r="B19" s="10" t="s">
        <v>15</v>
      </c>
      <c r="C19" s="9"/>
      <c r="D19" s="9"/>
      <c r="E19" s="9"/>
    </row>
    <row r="20" spans="1:5" ht="15.75" customHeight="1">
      <c r="A20" s="18" t="s">
        <v>21</v>
      </c>
      <c r="B20" s="10">
        <v>7</v>
      </c>
      <c r="C20" s="9"/>
      <c r="D20" s="9"/>
      <c r="E20" s="9"/>
    </row>
    <row r="21" spans="1:5" ht="15.75" customHeight="1">
      <c r="A21" s="18" t="s">
        <v>22</v>
      </c>
      <c r="B21" s="10">
        <v>5</v>
      </c>
      <c r="C21" s="9"/>
      <c r="D21" s="9"/>
      <c r="E21" s="9"/>
    </row>
    <row r="22" spans="1:5" ht="15.75" customHeight="1">
      <c r="A22" s="19" t="s">
        <v>23</v>
      </c>
      <c r="B22" s="20">
        <v>3</v>
      </c>
      <c r="C22" s="21"/>
      <c r="D22" s="9"/>
      <c r="E22" s="9"/>
    </row>
    <row r="23" spans="1:5" ht="15.75" customHeight="1">
      <c r="A23" s="18" t="s">
        <v>24</v>
      </c>
      <c r="B23" s="10">
        <v>0</v>
      </c>
      <c r="C23" s="9"/>
      <c r="D23" s="9"/>
      <c r="E23" s="9"/>
    </row>
    <row r="24" spans="1:5" ht="33.75" customHeight="1">
      <c r="A24" s="9" t="s">
        <v>25</v>
      </c>
      <c r="B24" s="15"/>
      <c r="C24" s="16"/>
      <c r="D24" s="16"/>
      <c r="E24" s="16"/>
    </row>
    <row r="25" spans="1:5" ht="15.75" customHeight="1">
      <c r="A25" s="12" t="s">
        <v>26</v>
      </c>
      <c r="B25" s="10" t="s">
        <v>15</v>
      </c>
      <c r="C25" s="9"/>
      <c r="D25" s="9"/>
      <c r="E25" s="9"/>
    </row>
    <row r="26" spans="1:5" ht="15.75" customHeight="1">
      <c r="A26" s="12" t="s">
        <v>27</v>
      </c>
      <c r="B26" s="10">
        <v>7</v>
      </c>
      <c r="C26" s="9"/>
      <c r="D26" s="9"/>
      <c r="E26" s="9"/>
    </row>
    <row r="27" spans="1:5" ht="15.75" customHeight="1">
      <c r="A27" s="12" t="s">
        <v>28</v>
      </c>
      <c r="B27" s="10">
        <v>5</v>
      </c>
      <c r="C27" s="9"/>
      <c r="D27" s="9"/>
      <c r="E27" s="9"/>
    </row>
    <row r="28" spans="1:5" ht="15.75" customHeight="1">
      <c r="A28" s="12" t="s">
        <v>29</v>
      </c>
      <c r="B28" s="14">
        <v>0</v>
      </c>
      <c r="C28" s="9"/>
      <c r="D28" s="9"/>
      <c r="E28" s="9"/>
    </row>
    <row r="29" spans="1:5" ht="15.75" customHeight="1">
      <c r="A29" s="22" t="s">
        <v>30</v>
      </c>
      <c r="B29" s="10"/>
      <c r="C29" s="16"/>
      <c r="D29" s="16"/>
      <c r="E29" s="16"/>
    </row>
    <row r="30" spans="1:5" ht="15.75" customHeight="1">
      <c r="A30" s="23" t="s">
        <v>31</v>
      </c>
      <c r="B30" s="10">
        <v>10</v>
      </c>
      <c r="C30" s="9"/>
      <c r="D30" s="9"/>
      <c r="E30" s="9"/>
    </row>
    <row r="31" spans="1:5" ht="15.75" customHeight="1">
      <c r="A31" s="23" t="s">
        <v>32</v>
      </c>
      <c r="B31" s="10">
        <v>5</v>
      </c>
      <c r="C31" s="9"/>
      <c r="D31" s="9"/>
      <c r="E31" s="9"/>
    </row>
    <row r="32" spans="1:5" ht="15.75" customHeight="1">
      <c r="A32" s="24" t="s">
        <v>33</v>
      </c>
      <c r="B32" s="14">
        <v>0</v>
      </c>
      <c r="C32" s="25"/>
      <c r="D32" s="25"/>
      <c r="E32" s="25"/>
    </row>
    <row r="33" spans="1:5" ht="15.75" customHeight="1">
      <c r="A33" s="22" t="s">
        <v>34</v>
      </c>
      <c r="B33" s="10"/>
      <c r="C33" s="16"/>
      <c r="D33" s="16"/>
      <c r="E33" s="16"/>
    </row>
    <row r="34" spans="1:5" ht="15.75" customHeight="1">
      <c r="A34" s="279" t="s">
        <v>509</v>
      </c>
      <c r="B34" s="10" t="s">
        <v>15</v>
      </c>
      <c r="C34" s="9"/>
      <c r="D34" s="9"/>
      <c r="E34" s="9"/>
    </row>
    <row r="35" spans="1:5" ht="15.75" customHeight="1">
      <c r="A35" s="12" t="s">
        <v>36</v>
      </c>
      <c r="B35" s="10">
        <v>7</v>
      </c>
      <c r="C35" s="9"/>
      <c r="D35" s="9"/>
      <c r="E35" s="9"/>
    </row>
    <row r="36" spans="1:5" ht="15.75" customHeight="1">
      <c r="A36" s="12" t="s">
        <v>37</v>
      </c>
      <c r="B36" s="10">
        <v>5</v>
      </c>
      <c r="C36" s="9"/>
      <c r="D36" s="9"/>
      <c r="E36" s="9"/>
    </row>
    <row r="37" spans="1:5" ht="15.75" customHeight="1">
      <c r="A37" s="23" t="s">
        <v>38</v>
      </c>
      <c r="B37" s="14">
        <v>0</v>
      </c>
      <c r="C37" s="9"/>
      <c r="D37" s="9"/>
      <c r="E37" s="9"/>
    </row>
    <row r="38" spans="1:5" ht="15.75" customHeight="1">
      <c r="A38" s="9" t="s">
        <v>39</v>
      </c>
      <c r="B38" s="10"/>
      <c r="C38" s="16"/>
      <c r="D38" s="16"/>
      <c r="E38" s="16"/>
    </row>
    <row r="39" spans="1:5" ht="15.75" customHeight="1">
      <c r="A39" s="12" t="s">
        <v>26</v>
      </c>
      <c r="B39" s="10" t="s">
        <v>15</v>
      </c>
      <c r="C39" s="9"/>
      <c r="D39" s="9"/>
      <c r="E39" s="9"/>
    </row>
    <row r="40" spans="1:5" ht="15.75" customHeight="1">
      <c r="A40" s="12" t="s">
        <v>27</v>
      </c>
      <c r="B40" s="10">
        <v>7</v>
      </c>
      <c r="C40" s="9"/>
      <c r="D40" s="9"/>
      <c r="E40" s="9"/>
    </row>
    <row r="41" spans="1:5" ht="15.75" customHeight="1">
      <c r="A41" s="12" t="s">
        <v>28</v>
      </c>
      <c r="B41" s="10">
        <v>5</v>
      </c>
      <c r="C41" s="9"/>
      <c r="D41" s="9"/>
      <c r="E41" s="9"/>
    </row>
    <row r="42" spans="1:5" ht="15.75" customHeight="1">
      <c r="A42" s="26" t="s">
        <v>29</v>
      </c>
      <c r="B42" s="14">
        <v>0</v>
      </c>
      <c r="C42" s="25"/>
      <c r="D42" s="25"/>
      <c r="E42" s="25"/>
    </row>
    <row r="43" spans="1:5" ht="15.75" customHeight="1">
      <c r="A43" s="9" t="s">
        <v>40</v>
      </c>
      <c r="B43" s="10"/>
      <c r="C43" s="16"/>
      <c r="D43" s="16"/>
      <c r="E43" s="16"/>
    </row>
    <row r="44" spans="1:5" ht="15.75" customHeight="1">
      <c r="A44" s="12" t="s">
        <v>26</v>
      </c>
      <c r="B44" s="10" t="s">
        <v>15</v>
      </c>
      <c r="C44" s="9"/>
      <c r="D44" s="9"/>
      <c r="E44" s="9"/>
    </row>
    <row r="45" spans="1:5" ht="15.75" customHeight="1">
      <c r="A45" s="12" t="s">
        <v>27</v>
      </c>
      <c r="B45" s="10">
        <v>7</v>
      </c>
      <c r="C45" s="9"/>
      <c r="D45" s="9"/>
      <c r="E45" s="9"/>
    </row>
    <row r="46" spans="1:5" ht="15.75" customHeight="1">
      <c r="A46" s="12" t="s">
        <v>28</v>
      </c>
      <c r="B46" s="10">
        <v>5</v>
      </c>
      <c r="C46" s="9"/>
      <c r="D46" s="9"/>
      <c r="E46" s="9"/>
    </row>
    <row r="47" spans="1:5" ht="15.75" customHeight="1">
      <c r="A47" s="26" t="s">
        <v>29</v>
      </c>
      <c r="B47" s="14">
        <v>0</v>
      </c>
      <c r="C47" s="25"/>
      <c r="D47" s="25"/>
      <c r="E47" s="25"/>
    </row>
    <row r="48" spans="1:5" ht="15.75" customHeight="1">
      <c r="A48" s="9" t="s">
        <v>41</v>
      </c>
      <c r="B48" s="10"/>
      <c r="C48" s="16"/>
      <c r="D48" s="16"/>
      <c r="E48" s="16"/>
    </row>
    <row r="49" spans="1:5" ht="15.75" customHeight="1">
      <c r="A49" s="9" t="s">
        <v>42</v>
      </c>
      <c r="B49" s="10" t="s">
        <v>15</v>
      </c>
      <c r="C49" s="9"/>
      <c r="D49" s="9"/>
      <c r="E49" s="9"/>
    </row>
    <row r="50" spans="1:5" ht="15.75" customHeight="1">
      <c r="A50" s="9" t="s">
        <v>43</v>
      </c>
      <c r="B50" s="10">
        <v>7</v>
      </c>
      <c r="C50" s="9"/>
      <c r="D50" s="9"/>
      <c r="E50" s="9"/>
    </row>
    <row r="51" spans="1:5" ht="15.75" customHeight="1">
      <c r="A51" s="12" t="s">
        <v>44</v>
      </c>
      <c r="B51" s="10">
        <v>5</v>
      </c>
      <c r="C51" s="9"/>
      <c r="D51" s="9"/>
      <c r="E51" s="9"/>
    </row>
    <row r="52" spans="1:5" ht="15.75" customHeight="1">
      <c r="A52" s="12" t="s">
        <v>45</v>
      </c>
      <c r="B52" s="14">
        <v>0</v>
      </c>
      <c r="C52" s="9"/>
      <c r="D52" s="9"/>
      <c r="E52" s="9"/>
    </row>
    <row r="53" spans="1:5" ht="15.75" customHeight="1">
      <c r="A53" s="22" t="s">
        <v>46</v>
      </c>
      <c r="B53" s="15"/>
      <c r="C53" s="16"/>
      <c r="D53" s="16"/>
      <c r="E53" s="11"/>
    </row>
    <row r="54" spans="1:5" ht="16.5" customHeight="1">
      <c r="A54" s="22" t="s">
        <v>47</v>
      </c>
      <c r="B54" s="10" t="s">
        <v>15</v>
      </c>
      <c r="C54" s="9"/>
      <c r="D54" s="9"/>
      <c r="E54" s="13"/>
    </row>
    <row r="55" spans="1:5" ht="16.5" customHeight="1">
      <c r="A55" s="23" t="s">
        <v>48</v>
      </c>
      <c r="B55" s="10">
        <v>5</v>
      </c>
      <c r="C55" s="9"/>
      <c r="D55" s="9"/>
      <c r="E55" s="13"/>
    </row>
    <row r="56" spans="1:5" ht="16.5" customHeight="1">
      <c r="A56" s="23" t="s">
        <v>49</v>
      </c>
      <c r="B56" s="14">
        <v>0</v>
      </c>
      <c r="C56" s="9"/>
      <c r="D56" s="9"/>
      <c r="E56" s="13"/>
    </row>
    <row r="57" spans="1:5" ht="15.75" customHeight="1">
      <c r="A57" s="27" t="s">
        <v>50</v>
      </c>
      <c r="B57" s="28">
        <v>20</v>
      </c>
      <c r="C57" s="29"/>
      <c r="D57" s="29"/>
      <c r="E57" s="30"/>
    </row>
    <row r="58" spans="1:5" ht="15.75" customHeight="1">
      <c r="A58" s="22" t="s">
        <v>51</v>
      </c>
      <c r="B58" s="15"/>
      <c r="C58" s="16"/>
      <c r="D58" s="16"/>
      <c r="E58" s="11"/>
    </row>
    <row r="59" spans="1:5" ht="16.5" customHeight="1">
      <c r="A59" s="23" t="s">
        <v>52</v>
      </c>
      <c r="B59" s="10" t="s">
        <v>15</v>
      </c>
      <c r="C59" s="9"/>
      <c r="D59" s="9"/>
      <c r="E59" s="13"/>
    </row>
    <row r="60" spans="1:5" ht="15.75" customHeight="1">
      <c r="A60" s="23" t="s">
        <v>53</v>
      </c>
      <c r="B60" s="10">
        <v>5</v>
      </c>
      <c r="C60" s="9"/>
      <c r="D60" s="9"/>
      <c r="E60" s="13"/>
    </row>
    <row r="61" spans="1:5" ht="15.75" customHeight="1">
      <c r="A61" s="23" t="s">
        <v>54</v>
      </c>
      <c r="B61" s="14">
        <v>0</v>
      </c>
      <c r="C61" s="9"/>
      <c r="D61" s="9"/>
      <c r="E61" s="13"/>
    </row>
    <row r="62" spans="1:5" ht="15.75" customHeight="1">
      <c r="A62" s="22" t="s">
        <v>55</v>
      </c>
      <c r="B62" s="15"/>
      <c r="C62" s="16"/>
      <c r="D62" s="16"/>
      <c r="E62" s="11"/>
    </row>
    <row r="63" spans="1:5" ht="15.75" customHeight="1">
      <c r="A63" s="23" t="s">
        <v>56</v>
      </c>
      <c r="B63" s="10" t="s">
        <v>15</v>
      </c>
      <c r="C63" s="9"/>
      <c r="D63" s="9"/>
      <c r="E63" s="13"/>
    </row>
    <row r="64" spans="1:5" ht="15.75" customHeight="1">
      <c r="A64" s="23" t="s">
        <v>57</v>
      </c>
      <c r="B64" s="10">
        <v>5</v>
      </c>
      <c r="C64" s="9"/>
      <c r="D64" s="9"/>
      <c r="E64" s="13"/>
    </row>
    <row r="65" spans="1:5" ht="15.75" customHeight="1">
      <c r="A65" s="23" t="s">
        <v>58</v>
      </c>
      <c r="B65" s="14">
        <v>0</v>
      </c>
      <c r="C65" s="9"/>
      <c r="D65" s="9"/>
      <c r="E65" s="13"/>
    </row>
    <row r="66" spans="1:5" ht="15.75" customHeight="1">
      <c r="A66" s="27" t="s">
        <v>59</v>
      </c>
      <c r="B66" s="28">
        <v>50</v>
      </c>
      <c r="C66" s="29"/>
      <c r="D66" s="29"/>
      <c r="E66" s="30"/>
    </row>
    <row r="67" spans="1:5" ht="15.75" customHeight="1">
      <c r="A67" s="22" t="s">
        <v>60</v>
      </c>
      <c r="B67" s="15"/>
      <c r="C67" s="16"/>
      <c r="D67" s="16"/>
      <c r="E67" s="11"/>
    </row>
    <row r="68" spans="1:5" ht="16.5" customHeight="1">
      <c r="A68" s="23" t="s">
        <v>61</v>
      </c>
      <c r="B68" s="10">
        <v>10</v>
      </c>
      <c r="C68" s="9"/>
      <c r="D68" s="9"/>
      <c r="E68" s="13"/>
    </row>
    <row r="69" spans="1:5" ht="16.5" customHeight="1">
      <c r="A69" s="23" t="s">
        <v>62</v>
      </c>
      <c r="B69" s="10">
        <v>5</v>
      </c>
      <c r="C69" s="9"/>
      <c r="D69" s="9"/>
      <c r="E69" s="13"/>
    </row>
    <row r="70" spans="1:5" ht="16.5" customHeight="1">
      <c r="A70" s="23" t="s">
        <v>63</v>
      </c>
      <c r="B70" s="14">
        <v>0</v>
      </c>
      <c r="C70" s="9"/>
      <c r="D70" s="9"/>
      <c r="E70" s="13"/>
    </row>
    <row r="71" spans="1:5" ht="15.75" customHeight="1">
      <c r="A71" s="22" t="s">
        <v>64</v>
      </c>
      <c r="B71" s="15"/>
      <c r="C71" s="16"/>
      <c r="D71" s="16"/>
      <c r="E71" s="11"/>
    </row>
    <row r="72" spans="1:5" ht="16.5" customHeight="1">
      <c r="A72" s="23" t="s">
        <v>61</v>
      </c>
      <c r="B72" s="15"/>
      <c r="C72" s="9"/>
      <c r="D72" s="9"/>
      <c r="E72" s="13"/>
    </row>
    <row r="73" spans="1:5" ht="16.5" customHeight="1">
      <c r="A73" s="23" t="s">
        <v>62</v>
      </c>
      <c r="B73" s="10">
        <v>10</v>
      </c>
      <c r="C73" s="9"/>
      <c r="D73" s="9"/>
      <c r="E73" s="13"/>
    </row>
    <row r="74" spans="1:5" ht="16.5" customHeight="1">
      <c r="A74" s="23" t="s">
        <v>63</v>
      </c>
      <c r="B74" s="10">
        <v>5</v>
      </c>
      <c r="C74" s="9"/>
      <c r="D74" s="9"/>
      <c r="E74" s="13"/>
    </row>
    <row r="75" spans="1:5" ht="15.75" customHeight="1">
      <c r="A75" s="22" t="s">
        <v>65</v>
      </c>
      <c r="B75" s="15"/>
      <c r="C75" s="16"/>
      <c r="D75" s="16"/>
      <c r="E75" s="11"/>
    </row>
    <row r="76" spans="1:5" ht="16.5" customHeight="1">
      <c r="A76" s="23" t="s">
        <v>61</v>
      </c>
      <c r="B76" s="15"/>
      <c r="C76" s="9"/>
      <c r="D76" s="9"/>
      <c r="E76" s="13"/>
    </row>
    <row r="77" spans="1:5" ht="16.5" customHeight="1">
      <c r="A77" s="23" t="s">
        <v>62</v>
      </c>
      <c r="B77" s="10">
        <v>10</v>
      </c>
      <c r="C77" s="9"/>
      <c r="D77" s="9"/>
      <c r="E77" s="13"/>
    </row>
    <row r="78" spans="1:5" ht="16.5" customHeight="1">
      <c r="A78" s="23" t="s">
        <v>63</v>
      </c>
      <c r="B78" s="10">
        <v>5</v>
      </c>
      <c r="C78" s="9"/>
      <c r="D78" s="9"/>
      <c r="E78" s="13"/>
    </row>
    <row r="79" spans="1:5" ht="15.75" customHeight="1">
      <c r="A79" s="22" t="s">
        <v>66</v>
      </c>
      <c r="B79" s="15"/>
      <c r="C79" s="16"/>
      <c r="D79" s="16"/>
      <c r="E79" s="11"/>
    </row>
    <row r="80" spans="1:5" ht="16.5" customHeight="1">
      <c r="A80" s="23" t="s">
        <v>61</v>
      </c>
      <c r="B80" s="15"/>
      <c r="C80" s="9"/>
      <c r="D80" s="9"/>
      <c r="E80" s="13"/>
    </row>
    <row r="81" spans="1:5" ht="16.5" customHeight="1">
      <c r="A81" s="23" t="s">
        <v>62</v>
      </c>
      <c r="B81" s="10">
        <v>10</v>
      </c>
      <c r="C81" s="9"/>
      <c r="D81" s="9"/>
      <c r="E81" s="13"/>
    </row>
    <row r="82" spans="1:5" ht="16.5" customHeight="1">
      <c r="A82" s="23" t="s">
        <v>63</v>
      </c>
      <c r="B82" s="10">
        <v>5</v>
      </c>
      <c r="C82" s="9"/>
      <c r="D82" s="9"/>
      <c r="E82" s="13"/>
    </row>
    <row r="83" spans="1:5" ht="16.5" customHeight="1">
      <c r="A83" s="31"/>
      <c r="B83" s="14">
        <v>0</v>
      </c>
      <c r="C83" s="25"/>
      <c r="D83" s="25"/>
      <c r="E83" s="32"/>
    </row>
    <row r="84" spans="1:5" ht="15.75" customHeight="1">
      <c r="A84" s="22" t="s">
        <v>67</v>
      </c>
      <c r="B84" s="15"/>
      <c r="C84" s="16"/>
      <c r="D84" s="16"/>
      <c r="E84" s="11"/>
    </row>
    <row r="85" spans="1:5" ht="16.5" customHeight="1">
      <c r="A85" s="23" t="s">
        <v>61</v>
      </c>
      <c r="B85" s="10">
        <v>10</v>
      </c>
      <c r="C85" s="9"/>
      <c r="D85" s="9"/>
      <c r="E85" s="13"/>
    </row>
    <row r="86" spans="1:5" ht="16.5" customHeight="1">
      <c r="A86" s="23" t="s">
        <v>62</v>
      </c>
      <c r="B86" s="10">
        <v>5</v>
      </c>
      <c r="C86" s="9"/>
      <c r="D86" s="9"/>
      <c r="E86" s="13"/>
    </row>
    <row r="87" spans="1:5" ht="16.5" customHeight="1">
      <c r="A87" s="23" t="s">
        <v>63</v>
      </c>
      <c r="B87" s="14">
        <v>0</v>
      </c>
      <c r="C87" s="9"/>
      <c r="D87" s="9"/>
      <c r="E87" s="13"/>
    </row>
    <row r="88" spans="1:5" ht="16.5" customHeight="1">
      <c r="A88" s="31"/>
      <c r="B88" s="14"/>
      <c r="C88" s="25"/>
      <c r="D88" s="25"/>
      <c r="E88" s="32"/>
    </row>
    <row r="89" spans="1:5" ht="18.75" customHeight="1">
      <c r="A89" s="27" t="s">
        <v>68</v>
      </c>
      <c r="B89" s="28">
        <v>40</v>
      </c>
      <c r="C89" s="28"/>
      <c r="D89" s="29"/>
      <c r="E89" s="30"/>
    </row>
    <row r="90" spans="1:5" ht="36" customHeight="1">
      <c r="A90" s="33" t="s">
        <v>69</v>
      </c>
      <c r="B90" s="15"/>
      <c r="C90" s="16"/>
      <c r="D90" s="16"/>
      <c r="E90" s="11"/>
    </row>
    <row r="91" spans="1:5" ht="15.75" customHeight="1">
      <c r="A91" s="34" t="s">
        <v>70</v>
      </c>
      <c r="B91" s="10">
        <v>10</v>
      </c>
      <c r="C91" s="9"/>
      <c r="D91" s="9"/>
      <c r="E91" s="13"/>
    </row>
    <row r="92" spans="1:5" ht="15.75" customHeight="1">
      <c r="A92" s="34" t="s">
        <v>71</v>
      </c>
      <c r="B92" s="10">
        <v>5</v>
      </c>
      <c r="C92" s="9"/>
      <c r="D92" s="9"/>
      <c r="E92" s="13"/>
    </row>
    <row r="93" spans="1:5" ht="16.5" customHeight="1">
      <c r="A93" s="35" t="s">
        <v>72</v>
      </c>
      <c r="B93" s="14">
        <v>0</v>
      </c>
      <c r="C93" s="25"/>
      <c r="D93" s="25"/>
      <c r="E93" s="32"/>
    </row>
    <row r="94" spans="1:5" ht="34.5" customHeight="1">
      <c r="A94" s="22" t="s">
        <v>73</v>
      </c>
      <c r="B94" s="15"/>
      <c r="C94" s="16"/>
      <c r="D94" s="16"/>
      <c r="E94" s="11"/>
    </row>
    <row r="95" spans="1:5" ht="16.5" customHeight="1">
      <c r="A95" s="23" t="s">
        <v>74</v>
      </c>
      <c r="B95" s="10">
        <v>10</v>
      </c>
      <c r="C95" s="9"/>
      <c r="D95" s="9"/>
      <c r="E95" s="13"/>
    </row>
    <row r="96" spans="1:5" ht="16.5" customHeight="1">
      <c r="A96" s="23" t="s">
        <v>75</v>
      </c>
      <c r="B96" s="10">
        <v>5</v>
      </c>
      <c r="C96" s="9"/>
      <c r="D96" s="9"/>
      <c r="E96" s="13"/>
    </row>
    <row r="97" spans="1:5" ht="16.5" customHeight="1">
      <c r="A97" s="24" t="s">
        <v>76</v>
      </c>
      <c r="B97" s="14">
        <v>0</v>
      </c>
      <c r="C97" s="25"/>
      <c r="D97" s="25"/>
      <c r="E97" s="32"/>
    </row>
    <row r="98" spans="1:5" ht="16.5" customHeight="1">
      <c r="A98" s="22" t="s">
        <v>77</v>
      </c>
      <c r="B98" s="10"/>
      <c r="C98" s="9"/>
      <c r="D98" s="9"/>
      <c r="E98" s="13"/>
    </row>
    <row r="99" spans="1:5" ht="16.5" customHeight="1">
      <c r="A99" s="23" t="s">
        <v>78</v>
      </c>
      <c r="B99" s="10" t="s">
        <v>15</v>
      </c>
      <c r="C99" s="9"/>
      <c r="D99" s="9"/>
      <c r="E99" s="13"/>
    </row>
    <row r="100" spans="1:5" ht="16.5" customHeight="1">
      <c r="A100" s="23" t="s">
        <v>79</v>
      </c>
      <c r="B100" s="10">
        <v>5</v>
      </c>
      <c r="C100" s="9"/>
      <c r="D100" s="9"/>
      <c r="E100" s="13"/>
    </row>
    <row r="101" spans="1:5" ht="18" customHeight="1">
      <c r="A101" s="24" t="s">
        <v>80</v>
      </c>
      <c r="B101" s="14">
        <v>0</v>
      </c>
      <c r="C101" s="25"/>
      <c r="D101" s="25"/>
      <c r="E101" s="32"/>
    </row>
    <row r="102" spans="1:5" ht="16.5" customHeight="1">
      <c r="A102" s="9" t="s">
        <v>81</v>
      </c>
      <c r="B102" s="10"/>
      <c r="C102" s="16"/>
      <c r="D102" s="16"/>
      <c r="E102" s="11"/>
    </row>
    <row r="103" spans="1:5" ht="15.75" customHeight="1">
      <c r="A103" s="12" t="s">
        <v>82</v>
      </c>
      <c r="B103" s="10">
        <v>10</v>
      </c>
      <c r="C103" s="9"/>
      <c r="D103" s="9"/>
      <c r="E103" s="13"/>
    </row>
    <row r="104" spans="1:5" ht="15.75" customHeight="1">
      <c r="A104" s="12" t="s">
        <v>83</v>
      </c>
      <c r="B104" s="10">
        <v>5</v>
      </c>
      <c r="C104" s="9"/>
      <c r="D104" s="9"/>
      <c r="E104" s="13"/>
    </row>
    <row r="105" spans="1:5" ht="18" customHeight="1">
      <c r="A105" s="24" t="s">
        <v>84</v>
      </c>
      <c r="B105" s="14">
        <v>0</v>
      </c>
      <c r="C105" s="25"/>
      <c r="D105" s="25"/>
      <c r="E105" s="32"/>
    </row>
    <row r="106" spans="1:5" ht="15.75" customHeight="1">
      <c r="A106" s="9" t="s">
        <v>85</v>
      </c>
      <c r="B106" s="10"/>
      <c r="C106" s="16"/>
      <c r="D106" s="16"/>
      <c r="E106" s="11"/>
    </row>
    <row r="107" spans="1:5" ht="16.5" customHeight="1">
      <c r="A107" s="12" t="s">
        <v>86</v>
      </c>
      <c r="B107" s="10">
        <v>10</v>
      </c>
      <c r="C107" s="9"/>
      <c r="D107" s="9"/>
      <c r="E107" s="13"/>
    </row>
    <row r="108" spans="1:5" ht="16.5" customHeight="1">
      <c r="A108" s="12" t="s">
        <v>87</v>
      </c>
      <c r="B108" s="10">
        <v>5</v>
      </c>
      <c r="C108" s="9"/>
      <c r="D108" s="9"/>
      <c r="E108" s="13"/>
    </row>
    <row r="109" spans="1:5" ht="16.5" customHeight="1">
      <c r="A109" s="23" t="s">
        <v>88</v>
      </c>
      <c r="B109" s="14">
        <v>0</v>
      </c>
      <c r="C109" s="9"/>
      <c r="D109" s="9"/>
      <c r="E109" s="13"/>
    </row>
    <row r="110" spans="1:5" ht="16.5" customHeight="1">
      <c r="A110" s="31"/>
      <c r="B110" s="14"/>
      <c r="C110" s="25"/>
      <c r="D110" s="25"/>
      <c r="E110" s="32"/>
    </row>
    <row r="111" spans="1:5" ht="15.75" customHeight="1">
      <c r="A111" s="36" t="s">
        <v>89</v>
      </c>
      <c r="B111" s="254"/>
      <c r="C111" s="252"/>
      <c r="D111" s="253"/>
      <c r="E111" s="14"/>
    </row>
    <row r="112" spans="1:5" ht="15.75" customHeight="1">
      <c r="A112" s="3"/>
    </row>
    <row r="113" spans="1:5" ht="15.75" customHeight="1">
      <c r="A113" s="37" t="s">
        <v>90</v>
      </c>
    </row>
    <row r="114" spans="1:5" ht="15.75" customHeight="1">
      <c r="A114" s="3" t="s">
        <v>91</v>
      </c>
      <c r="E114" s="3" t="s">
        <v>92</v>
      </c>
    </row>
    <row r="115" spans="1:5" ht="15.75" customHeight="1">
      <c r="A115" s="3" t="s">
        <v>93</v>
      </c>
    </row>
    <row r="116" spans="1:5" ht="15.75" customHeight="1">
      <c r="A116" s="1" t="s">
        <v>94</v>
      </c>
    </row>
    <row r="117" spans="1:5" ht="15.75" customHeight="1"/>
    <row r="118" spans="1:5" ht="15.75" customHeight="1"/>
    <row r="119" spans="1:5" ht="15.75" customHeight="1"/>
    <row r="120" spans="1:5" ht="15.75" customHeight="1"/>
    <row r="121" spans="1:5" ht="15.75" customHeight="1"/>
    <row r="122" spans="1:5" ht="15.75" customHeight="1"/>
    <row r="123" spans="1:5" ht="15.75" customHeight="1"/>
    <row r="124" spans="1:5" ht="15.75" customHeight="1"/>
    <row r="125" spans="1:5" ht="15.75" customHeight="1"/>
    <row r="126" spans="1:5" ht="15.75" customHeight="1"/>
    <row r="127" spans="1:5" ht="15.75" customHeight="1"/>
    <row r="128" spans="1:5"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5">
    <mergeCell ref="A3:E3"/>
    <mergeCell ref="A4:E4"/>
    <mergeCell ref="A10:A11"/>
    <mergeCell ref="C10:E10"/>
    <mergeCell ref="B111:D1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6"/>
  <sheetViews>
    <sheetView workbookViewId="0"/>
  </sheetViews>
  <sheetFormatPr defaultColWidth="11.25" defaultRowHeight="15" customHeight="1"/>
  <cols>
    <col min="1" max="1" width="74.5" customWidth="1"/>
  </cols>
  <sheetData>
    <row r="1" spans="1:26" ht="15.75">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spans="1:26" ht="15.75">
      <c r="A2" s="255"/>
      <c r="B2" s="247"/>
      <c r="C2" s="247"/>
      <c r="D2" s="247"/>
      <c r="E2" s="247"/>
      <c r="F2" s="39"/>
      <c r="G2" s="39"/>
      <c r="H2" s="39"/>
      <c r="I2" s="39"/>
      <c r="J2" s="39"/>
      <c r="K2" s="39"/>
      <c r="L2" s="39"/>
      <c r="M2" s="39"/>
      <c r="N2" s="39"/>
      <c r="O2" s="39"/>
      <c r="P2" s="39"/>
      <c r="Q2" s="39"/>
      <c r="R2" s="39"/>
      <c r="S2" s="39"/>
      <c r="T2" s="39"/>
      <c r="U2" s="39"/>
      <c r="V2" s="39"/>
      <c r="W2" s="39"/>
      <c r="X2" s="39"/>
      <c r="Y2" s="39"/>
      <c r="Z2" s="39"/>
    </row>
    <row r="3" spans="1:26" ht="18.75">
      <c r="A3" s="256" t="s">
        <v>95</v>
      </c>
      <c r="B3" s="247"/>
      <c r="C3" s="247"/>
      <c r="D3" s="247"/>
      <c r="E3" s="247"/>
      <c r="F3" s="39"/>
      <c r="G3" s="39"/>
      <c r="H3" s="39"/>
      <c r="I3" s="39"/>
      <c r="J3" s="39"/>
      <c r="K3" s="39"/>
      <c r="L3" s="39"/>
      <c r="M3" s="39"/>
      <c r="N3" s="39"/>
      <c r="O3" s="39"/>
      <c r="P3" s="39"/>
      <c r="Q3" s="39"/>
      <c r="R3" s="39"/>
      <c r="S3" s="39"/>
      <c r="T3" s="39"/>
      <c r="U3" s="39"/>
      <c r="V3" s="39"/>
      <c r="W3" s="39"/>
      <c r="X3" s="39"/>
      <c r="Y3" s="39"/>
      <c r="Z3" s="39"/>
    </row>
    <row r="4" spans="1:26" ht="18.75">
      <c r="A4" s="256" t="s">
        <v>96</v>
      </c>
      <c r="B4" s="247"/>
      <c r="C4" s="247"/>
      <c r="D4" s="247"/>
      <c r="E4" s="247"/>
      <c r="F4" s="39"/>
      <c r="G4" s="39"/>
      <c r="H4" s="39"/>
      <c r="I4" s="39"/>
      <c r="J4" s="39"/>
      <c r="K4" s="39"/>
      <c r="L4" s="39"/>
      <c r="M4" s="39"/>
      <c r="N4" s="39"/>
      <c r="O4" s="39"/>
      <c r="P4" s="39"/>
      <c r="Q4" s="39"/>
      <c r="R4" s="39"/>
      <c r="S4" s="39"/>
      <c r="T4" s="39"/>
      <c r="U4" s="39"/>
      <c r="V4" s="39"/>
      <c r="W4" s="39"/>
      <c r="X4" s="39"/>
      <c r="Y4" s="39"/>
      <c r="Z4" s="39"/>
    </row>
    <row r="5" spans="1:26" ht="15.75">
      <c r="A5" s="40"/>
      <c r="B5" s="39"/>
      <c r="C5" s="39"/>
      <c r="D5" s="39"/>
      <c r="E5" s="39"/>
      <c r="F5" s="39"/>
      <c r="G5" s="39"/>
      <c r="H5" s="39"/>
      <c r="I5" s="39"/>
      <c r="J5" s="39"/>
      <c r="K5" s="39"/>
      <c r="L5" s="39"/>
      <c r="M5" s="39"/>
      <c r="N5" s="39"/>
      <c r="O5" s="39"/>
      <c r="P5" s="39"/>
      <c r="Q5" s="39"/>
      <c r="R5" s="39"/>
      <c r="S5" s="39"/>
      <c r="T5" s="39"/>
      <c r="U5" s="39"/>
      <c r="V5" s="39"/>
      <c r="W5" s="39"/>
      <c r="X5" s="39"/>
      <c r="Y5" s="39"/>
      <c r="Z5" s="39"/>
    </row>
    <row r="6" spans="1:26" ht="15.75">
      <c r="A6" s="41" t="s">
        <v>3</v>
      </c>
      <c r="B6" s="42"/>
      <c r="C6" s="42"/>
      <c r="D6" s="42"/>
      <c r="E6" s="42"/>
      <c r="F6" s="39"/>
      <c r="G6" s="39"/>
      <c r="H6" s="39"/>
      <c r="I6" s="39"/>
      <c r="J6" s="39"/>
      <c r="K6" s="39"/>
      <c r="L6" s="39"/>
      <c r="M6" s="39"/>
      <c r="N6" s="39"/>
      <c r="O6" s="39"/>
      <c r="P6" s="39"/>
      <c r="Q6" s="39"/>
      <c r="R6" s="39"/>
      <c r="S6" s="39"/>
      <c r="T6" s="39"/>
      <c r="U6" s="39"/>
      <c r="V6" s="39"/>
      <c r="W6" s="39"/>
      <c r="X6" s="39"/>
      <c r="Y6" s="39"/>
      <c r="Z6" s="39"/>
    </row>
    <row r="7" spans="1:26" ht="15.75">
      <c r="A7" s="41" t="s">
        <v>4</v>
      </c>
      <c r="B7" s="42"/>
      <c r="C7" s="42"/>
      <c r="D7" s="42"/>
      <c r="E7" s="42"/>
      <c r="F7" s="39"/>
      <c r="G7" s="39"/>
      <c r="H7" s="39"/>
      <c r="I7" s="39"/>
      <c r="J7" s="39"/>
      <c r="K7" s="39"/>
      <c r="L7" s="39"/>
      <c r="M7" s="39"/>
      <c r="N7" s="39"/>
      <c r="O7" s="39"/>
      <c r="P7" s="39"/>
      <c r="Q7" s="39"/>
      <c r="R7" s="39"/>
      <c r="S7" s="39"/>
      <c r="T7" s="39"/>
      <c r="U7" s="39"/>
      <c r="V7" s="39"/>
      <c r="W7" s="39"/>
      <c r="X7" s="39"/>
      <c r="Y7" s="39"/>
      <c r="Z7" s="39"/>
    </row>
    <row r="8" spans="1:26" ht="15.75">
      <c r="A8" s="41" t="s">
        <v>97</v>
      </c>
      <c r="B8" s="42"/>
      <c r="C8" s="42"/>
      <c r="D8" s="42"/>
      <c r="E8" s="42"/>
      <c r="F8" s="39"/>
      <c r="G8" s="39"/>
      <c r="H8" s="39"/>
      <c r="I8" s="39"/>
      <c r="J8" s="39"/>
      <c r="K8" s="39"/>
      <c r="L8" s="39"/>
      <c r="M8" s="39"/>
      <c r="N8" s="39"/>
      <c r="O8" s="39"/>
      <c r="P8" s="39"/>
      <c r="Q8" s="39"/>
      <c r="R8" s="39"/>
      <c r="S8" s="39"/>
      <c r="T8" s="39"/>
      <c r="U8" s="39"/>
      <c r="V8" s="39"/>
      <c r="W8" s="39"/>
      <c r="X8" s="39"/>
      <c r="Y8" s="39"/>
      <c r="Z8" s="39"/>
    </row>
    <row r="9" spans="1:26" ht="15.75">
      <c r="A9" s="43" t="s">
        <v>6</v>
      </c>
      <c r="B9" s="44"/>
      <c r="C9" s="44"/>
      <c r="D9" s="44"/>
      <c r="E9" s="44"/>
      <c r="F9" s="39"/>
      <c r="G9" s="39"/>
      <c r="H9" s="39"/>
      <c r="I9" s="39"/>
      <c r="J9" s="39"/>
      <c r="K9" s="39"/>
      <c r="L9" s="39"/>
      <c r="M9" s="39"/>
      <c r="N9" s="39"/>
      <c r="O9" s="39"/>
      <c r="P9" s="39"/>
      <c r="Q9" s="39"/>
      <c r="R9" s="39"/>
      <c r="S9" s="39"/>
      <c r="T9" s="39"/>
      <c r="U9" s="39"/>
      <c r="V9" s="39"/>
      <c r="W9" s="39"/>
      <c r="X9" s="39"/>
      <c r="Y9" s="39"/>
      <c r="Z9" s="39"/>
    </row>
    <row r="10" spans="1:26" ht="15.75">
      <c r="A10" s="257" t="s">
        <v>7</v>
      </c>
      <c r="B10" s="45"/>
      <c r="C10" s="259" t="s">
        <v>8</v>
      </c>
      <c r="D10" s="260"/>
      <c r="E10" s="261"/>
      <c r="F10" s="39"/>
      <c r="G10" s="39"/>
      <c r="H10" s="39"/>
      <c r="I10" s="39"/>
      <c r="J10" s="39"/>
      <c r="K10" s="39"/>
      <c r="L10" s="39"/>
      <c r="M10" s="39"/>
      <c r="N10" s="39"/>
      <c r="O10" s="39"/>
      <c r="P10" s="39"/>
      <c r="Q10" s="39"/>
      <c r="R10" s="39"/>
      <c r="S10" s="39"/>
      <c r="T10" s="39"/>
      <c r="U10" s="39"/>
      <c r="V10" s="39"/>
      <c r="W10" s="39"/>
      <c r="X10" s="39"/>
      <c r="Y10" s="39"/>
      <c r="Z10" s="39"/>
    </row>
    <row r="11" spans="1:26" ht="31.5">
      <c r="A11" s="258"/>
      <c r="B11" s="46" t="s">
        <v>9</v>
      </c>
      <c r="C11" s="46" t="s">
        <v>10</v>
      </c>
      <c r="D11" s="46" t="s">
        <v>11</v>
      </c>
      <c r="E11" s="46" t="s">
        <v>12</v>
      </c>
      <c r="F11" s="39"/>
      <c r="G11" s="39"/>
      <c r="H11" s="39"/>
      <c r="I11" s="39"/>
      <c r="J11" s="39"/>
      <c r="K11" s="39"/>
      <c r="L11" s="39"/>
      <c r="M11" s="39"/>
      <c r="N11" s="39"/>
      <c r="O11" s="39"/>
      <c r="P11" s="39"/>
      <c r="Q11" s="39"/>
      <c r="R11" s="39"/>
      <c r="S11" s="39"/>
      <c r="T11" s="39"/>
      <c r="U11" s="39"/>
      <c r="V11" s="39"/>
      <c r="W11" s="39"/>
      <c r="X11" s="39"/>
      <c r="Y11" s="39"/>
      <c r="Z11" s="39"/>
    </row>
    <row r="12" spans="1:26" ht="15.75">
      <c r="A12" s="47" t="s">
        <v>98</v>
      </c>
      <c r="B12" s="48">
        <f>SUM(B14,B20,B26,B31,B35,B40,B44,B47)</f>
        <v>35</v>
      </c>
      <c r="C12" s="49"/>
      <c r="D12" s="49"/>
      <c r="E12" s="49"/>
      <c r="F12" s="39"/>
      <c r="G12" s="39"/>
      <c r="H12" s="39"/>
      <c r="I12" s="39"/>
      <c r="J12" s="39"/>
      <c r="K12" s="39"/>
      <c r="L12" s="39"/>
      <c r="M12" s="39"/>
      <c r="N12" s="39"/>
      <c r="O12" s="39"/>
      <c r="P12" s="39"/>
      <c r="Q12" s="39"/>
      <c r="R12" s="39"/>
      <c r="S12" s="39"/>
      <c r="T12" s="39"/>
      <c r="U12" s="39"/>
      <c r="V12" s="39"/>
      <c r="W12" s="39"/>
      <c r="X12" s="39"/>
      <c r="Y12" s="39"/>
      <c r="Z12" s="39"/>
    </row>
    <row r="13" spans="1:26" ht="31.5">
      <c r="A13" s="50" t="s">
        <v>99</v>
      </c>
      <c r="B13" s="45"/>
      <c r="C13" s="45"/>
      <c r="D13" s="45"/>
      <c r="E13" s="45"/>
      <c r="F13" s="39"/>
      <c r="G13" s="39"/>
      <c r="H13" s="39"/>
      <c r="I13" s="39"/>
      <c r="J13" s="39"/>
      <c r="K13" s="39"/>
      <c r="L13" s="39"/>
      <c r="M13" s="39"/>
      <c r="N13" s="39"/>
      <c r="O13" s="39"/>
      <c r="P13" s="39"/>
      <c r="Q13" s="39"/>
      <c r="R13" s="39"/>
      <c r="S13" s="39"/>
      <c r="T13" s="39"/>
      <c r="U13" s="39"/>
      <c r="V13" s="39"/>
      <c r="W13" s="39"/>
      <c r="X13" s="39"/>
      <c r="Y13" s="39"/>
      <c r="Z13" s="39"/>
    </row>
    <row r="14" spans="1:26" ht="15.75">
      <c r="A14" s="51" t="s">
        <v>14</v>
      </c>
      <c r="B14" s="46">
        <v>7</v>
      </c>
      <c r="C14" s="45"/>
      <c r="D14" s="45"/>
      <c r="E14" s="45"/>
      <c r="F14" s="39"/>
      <c r="G14" s="39"/>
      <c r="H14" s="39"/>
      <c r="I14" s="39"/>
      <c r="J14" s="39"/>
      <c r="K14" s="39"/>
      <c r="L14" s="39"/>
      <c r="M14" s="39"/>
      <c r="N14" s="39"/>
      <c r="O14" s="39"/>
      <c r="P14" s="39"/>
      <c r="Q14" s="39"/>
      <c r="R14" s="39"/>
      <c r="S14" s="39"/>
      <c r="T14" s="39"/>
      <c r="U14" s="39"/>
      <c r="V14" s="39"/>
      <c r="W14" s="39"/>
      <c r="X14" s="39"/>
      <c r="Y14" s="39"/>
      <c r="Z14" s="39"/>
    </row>
    <row r="15" spans="1:26" ht="15.75">
      <c r="A15" s="52" t="s">
        <v>100</v>
      </c>
      <c r="B15" s="53">
        <v>4</v>
      </c>
      <c r="C15" s="45"/>
      <c r="D15" s="45"/>
      <c r="E15" s="45"/>
      <c r="F15" s="39"/>
      <c r="G15" s="39"/>
      <c r="H15" s="39"/>
      <c r="I15" s="39"/>
      <c r="J15" s="39"/>
      <c r="K15" s="39"/>
      <c r="L15" s="39"/>
      <c r="M15" s="39"/>
      <c r="N15" s="39"/>
      <c r="O15" s="39"/>
      <c r="P15" s="39"/>
      <c r="Q15" s="39"/>
      <c r="R15" s="39"/>
      <c r="S15" s="39"/>
      <c r="T15" s="39"/>
      <c r="U15" s="39"/>
      <c r="V15" s="39"/>
      <c r="W15" s="39"/>
      <c r="X15" s="39"/>
      <c r="Y15" s="39"/>
      <c r="Z15" s="39"/>
    </row>
    <row r="16" spans="1:26" ht="15.75">
      <c r="A16" s="52" t="s">
        <v>101</v>
      </c>
      <c r="B16" s="54">
        <v>2</v>
      </c>
      <c r="C16" s="45"/>
      <c r="D16" s="45"/>
      <c r="E16" s="45"/>
      <c r="F16" s="39"/>
      <c r="G16" s="39"/>
      <c r="H16" s="39"/>
      <c r="I16" s="39"/>
      <c r="J16" s="39"/>
      <c r="K16" s="39"/>
      <c r="L16" s="39"/>
      <c r="M16" s="39"/>
      <c r="N16" s="39"/>
      <c r="O16" s="39"/>
      <c r="P16" s="39"/>
      <c r="Q16" s="39"/>
      <c r="R16" s="39"/>
      <c r="S16" s="39"/>
      <c r="T16" s="39"/>
      <c r="U16" s="39"/>
      <c r="V16" s="39"/>
      <c r="W16" s="39"/>
      <c r="X16" s="39"/>
      <c r="Y16" s="39"/>
      <c r="Z16" s="39"/>
    </row>
    <row r="17" spans="1:26" ht="15.75">
      <c r="A17" s="52" t="s">
        <v>102</v>
      </c>
      <c r="B17" s="54">
        <v>0</v>
      </c>
      <c r="C17" s="45"/>
      <c r="D17" s="45"/>
      <c r="E17" s="45"/>
      <c r="F17" s="39"/>
      <c r="G17" s="39"/>
      <c r="H17" s="39"/>
      <c r="I17" s="39"/>
      <c r="J17" s="39"/>
      <c r="K17" s="39"/>
      <c r="L17" s="39"/>
      <c r="M17" s="39"/>
      <c r="N17" s="39"/>
      <c r="O17" s="39"/>
      <c r="P17" s="39"/>
      <c r="Q17" s="39"/>
      <c r="R17" s="39"/>
      <c r="S17" s="39"/>
      <c r="T17" s="39"/>
      <c r="U17" s="39"/>
      <c r="V17" s="39"/>
      <c r="W17" s="39"/>
      <c r="X17" s="39"/>
      <c r="Y17" s="39"/>
      <c r="Z17" s="39"/>
    </row>
    <row r="18" spans="1:26" ht="15.75">
      <c r="A18" s="51" t="s">
        <v>103</v>
      </c>
      <c r="B18" s="54">
        <v>-5</v>
      </c>
      <c r="C18" s="45"/>
      <c r="D18" s="45"/>
      <c r="E18" s="45"/>
      <c r="F18" s="39"/>
      <c r="G18" s="39"/>
      <c r="H18" s="39"/>
      <c r="I18" s="39"/>
      <c r="J18" s="39"/>
      <c r="K18" s="39"/>
      <c r="L18" s="39"/>
      <c r="M18" s="39"/>
      <c r="N18" s="39"/>
      <c r="O18" s="39"/>
      <c r="P18" s="39"/>
      <c r="Q18" s="39"/>
      <c r="R18" s="39"/>
      <c r="S18" s="39"/>
      <c r="T18" s="39"/>
      <c r="U18" s="39"/>
      <c r="V18" s="39"/>
      <c r="W18" s="39"/>
      <c r="X18" s="39"/>
      <c r="Y18" s="39"/>
      <c r="Z18" s="39"/>
    </row>
    <row r="19" spans="1:26" ht="63">
      <c r="A19" s="50" t="s">
        <v>104</v>
      </c>
      <c r="B19" s="45"/>
      <c r="C19" s="45"/>
      <c r="D19" s="45"/>
      <c r="E19" s="45"/>
      <c r="F19" s="39"/>
      <c r="G19" s="39"/>
      <c r="H19" s="39"/>
      <c r="I19" s="39"/>
      <c r="J19" s="39"/>
      <c r="K19" s="39"/>
      <c r="L19" s="39"/>
      <c r="M19" s="39"/>
      <c r="N19" s="39"/>
      <c r="O19" s="39"/>
      <c r="P19" s="39"/>
      <c r="Q19" s="39"/>
      <c r="R19" s="39"/>
      <c r="S19" s="39"/>
      <c r="T19" s="39"/>
      <c r="U19" s="39"/>
      <c r="V19" s="39"/>
      <c r="W19" s="39"/>
      <c r="X19" s="39"/>
      <c r="Y19" s="39"/>
      <c r="Z19" s="39"/>
    </row>
    <row r="20" spans="1:26" ht="15.75">
      <c r="A20" s="51" t="s">
        <v>20</v>
      </c>
      <c r="B20" s="46">
        <v>5</v>
      </c>
      <c r="C20" s="45"/>
      <c r="D20" s="45"/>
      <c r="E20" s="45"/>
      <c r="F20" s="39"/>
      <c r="G20" s="39"/>
      <c r="H20" s="39"/>
      <c r="I20" s="39"/>
      <c r="J20" s="39"/>
      <c r="K20" s="39"/>
      <c r="L20" s="39"/>
      <c r="M20" s="39"/>
      <c r="N20" s="39"/>
      <c r="O20" s="39"/>
      <c r="P20" s="39"/>
      <c r="Q20" s="39"/>
      <c r="R20" s="39"/>
      <c r="S20" s="39"/>
      <c r="T20" s="39"/>
      <c r="U20" s="39"/>
      <c r="V20" s="39"/>
      <c r="W20" s="39"/>
      <c r="X20" s="39"/>
      <c r="Y20" s="39"/>
      <c r="Z20" s="39"/>
    </row>
    <row r="21" spans="1:26" ht="15.75">
      <c r="A21" s="51" t="s">
        <v>105</v>
      </c>
      <c r="B21" s="54">
        <v>2</v>
      </c>
      <c r="C21" s="45"/>
      <c r="D21" s="45"/>
      <c r="E21" s="45"/>
      <c r="F21" s="39"/>
      <c r="G21" s="39"/>
      <c r="H21" s="39"/>
      <c r="I21" s="39"/>
      <c r="J21" s="39"/>
      <c r="K21" s="39"/>
      <c r="L21" s="39"/>
      <c r="M21" s="39"/>
      <c r="N21" s="39"/>
      <c r="O21" s="39"/>
      <c r="P21" s="39"/>
      <c r="Q21" s="39"/>
      <c r="R21" s="39"/>
      <c r="S21" s="39"/>
      <c r="T21" s="39"/>
      <c r="U21" s="39"/>
      <c r="V21" s="39"/>
      <c r="W21" s="39"/>
      <c r="X21" s="39"/>
      <c r="Y21" s="39"/>
      <c r="Z21" s="39"/>
    </row>
    <row r="22" spans="1:26" ht="15.75">
      <c r="A22" s="51" t="s">
        <v>106</v>
      </c>
      <c r="B22" s="54">
        <v>1</v>
      </c>
      <c r="C22" s="45"/>
      <c r="D22" s="45"/>
      <c r="E22" s="45"/>
      <c r="F22" s="39"/>
      <c r="G22" s="39"/>
      <c r="H22" s="39"/>
      <c r="I22" s="39"/>
      <c r="J22" s="39"/>
      <c r="K22" s="39"/>
      <c r="L22" s="39"/>
      <c r="M22" s="39"/>
      <c r="N22" s="39"/>
      <c r="O22" s="39"/>
      <c r="P22" s="39"/>
      <c r="Q22" s="39"/>
      <c r="R22" s="39"/>
      <c r="S22" s="39"/>
      <c r="T22" s="39"/>
      <c r="U22" s="39"/>
      <c r="V22" s="39"/>
      <c r="W22" s="39"/>
      <c r="X22" s="39"/>
      <c r="Y22" s="39"/>
      <c r="Z22" s="39"/>
    </row>
    <row r="23" spans="1:26" ht="15.75">
      <c r="A23" s="51" t="s">
        <v>107</v>
      </c>
      <c r="B23" s="54">
        <v>0</v>
      </c>
      <c r="C23" s="45"/>
      <c r="D23" s="45"/>
      <c r="E23" s="45"/>
      <c r="F23" s="39"/>
      <c r="G23" s="39"/>
      <c r="H23" s="39"/>
      <c r="I23" s="39"/>
      <c r="J23" s="39"/>
      <c r="K23" s="39"/>
      <c r="L23" s="39"/>
      <c r="M23" s="39"/>
      <c r="N23" s="39"/>
      <c r="O23" s="39"/>
      <c r="P23" s="39"/>
      <c r="Q23" s="39"/>
      <c r="R23" s="39"/>
      <c r="S23" s="39"/>
      <c r="T23" s="39"/>
      <c r="U23" s="39"/>
      <c r="V23" s="39"/>
      <c r="W23" s="39"/>
      <c r="X23" s="39"/>
      <c r="Y23" s="39"/>
      <c r="Z23" s="39"/>
    </row>
    <row r="24" spans="1:26" ht="15.75">
      <c r="A24" s="51" t="s">
        <v>108</v>
      </c>
      <c r="B24" s="54">
        <v>-5</v>
      </c>
      <c r="C24" s="45"/>
      <c r="D24" s="45"/>
      <c r="E24" s="45"/>
      <c r="F24" s="39"/>
      <c r="G24" s="39"/>
      <c r="H24" s="39"/>
      <c r="I24" s="39"/>
      <c r="J24" s="39"/>
      <c r="K24" s="39"/>
      <c r="L24" s="39"/>
      <c r="M24" s="39"/>
      <c r="N24" s="39"/>
      <c r="O24" s="39"/>
      <c r="P24" s="39"/>
      <c r="Q24" s="39"/>
      <c r="R24" s="39"/>
      <c r="S24" s="39"/>
      <c r="T24" s="39"/>
      <c r="U24" s="39"/>
      <c r="V24" s="39"/>
      <c r="W24" s="39"/>
      <c r="X24" s="39"/>
      <c r="Y24" s="39"/>
      <c r="Z24" s="39"/>
    </row>
    <row r="25" spans="1:26" ht="15.75">
      <c r="A25" s="55" t="s">
        <v>109</v>
      </c>
      <c r="B25" s="45"/>
      <c r="C25" s="45"/>
      <c r="D25" s="45"/>
      <c r="E25" s="45"/>
      <c r="F25" s="39"/>
      <c r="G25" s="39"/>
      <c r="H25" s="39"/>
      <c r="I25" s="39"/>
      <c r="J25" s="39"/>
      <c r="K25" s="39"/>
      <c r="L25" s="39"/>
      <c r="M25" s="39"/>
      <c r="N25" s="39"/>
      <c r="O25" s="39"/>
      <c r="P25" s="39"/>
      <c r="Q25" s="39"/>
      <c r="R25" s="39"/>
      <c r="S25" s="39"/>
      <c r="T25" s="39"/>
      <c r="U25" s="39"/>
      <c r="V25" s="39"/>
      <c r="W25" s="39"/>
      <c r="X25" s="39"/>
      <c r="Y25" s="39"/>
      <c r="Z25" s="39"/>
    </row>
    <row r="26" spans="1:26" ht="15.75">
      <c r="A26" s="51" t="s">
        <v>35</v>
      </c>
      <c r="B26" s="46">
        <v>3</v>
      </c>
      <c r="C26" s="45"/>
      <c r="D26" s="45"/>
      <c r="E26" s="45"/>
      <c r="F26" s="39"/>
      <c r="G26" s="39"/>
      <c r="H26" s="39"/>
      <c r="I26" s="39"/>
      <c r="J26" s="39"/>
      <c r="K26" s="39"/>
      <c r="L26" s="39"/>
      <c r="M26" s="39"/>
      <c r="N26" s="39"/>
      <c r="O26" s="39"/>
      <c r="P26" s="39"/>
      <c r="Q26" s="39"/>
      <c r="R26" s="39"/>
      <c r="S26" s="39"/>
      <c r="T26" s="39"/>
      <c r="U26" s="39"/>
      <c r="V26" s="39"/>
      <c r="W26" s="39"/>
      <c r="X26" s="39"/>
      <c r="Y26" s="39"/>
      <c r="Z26" s="39"/>
    </row>
    <row r="27" spans="1:26" ht="15.75">
      <c r="A27" s="51" t="s">
        <v>110</v>
      </c>
      <c r="B27" s="54">
        <v>2</v>
      </c>
      <c r="C27" s="45"/>
      <c r="D27" s="45"/>
      <c r="E27" s="45"/>
      <c r="F27" s="39"/>
      <c r="G27" s="39"/>
      <c r="H27" s="39"/>
      <c r="I27" s="39"/>
      <c r="J27" s="39"/>
      <c r="K27" s="39"/>
      <c r="L27" s="39"/>
      <c r="M27" s="39"/>
      <c r="N27" s="39"/>
      <c r="O27" s="39"/>
      <c r="P27" s="39"/>
      <c r="Q27" s="39"/>
      <c r="R27" s="39"/>
      <c r="S27" s="39"/>
      <c r="T27" s="39"/>
      <c r="U27" s="39"/>
      <c r="V27" s="39"/>
      <c r="W27" s="39"/>
      <c r="X27" s="39"/>
      <c r="Y27" s="39"/>
      <c r="Z27" s="39"/>
    </row>
    <row r="28" spans="1:26" ht="15.75">
      <c r="A28" s="51" t="s">
        <v>111</v>
      </c>
      <c r="B28" s="54">
        <v>1</v>
      </c>
      <c r="C28" s="45"/>
      <c r="D28" s="45"/>
      <c r="E28" s="45"/>
      <c r="F28" s="39"/>
      <c r="G28" s="39"/>
      <c r="H28" s="39"/>
      <c r="I28" s="39"/>
      <c r="J28" s="39"/>
      <c r="K28" s="39"/>
      <c r="L28" s="39"/>
      <c r="M28" s="39"/>
      <c r="N28" s="39"/>
      <c r="O28" s="39"/>
      <c r="P28" s="39"/>
      <c r="Q28" s="39"/>
      <c r="R28" s="39"/>
      <c r="S28" s="39"/>
      <c r="T28" s="39"/>
      <c r="U28" s="39"/>
      <c r="V28" s="39"/>
      <c r="W28" s="39"/>
      <c r="X28" s="39"/>
      <c r="Y28" s="39"/>
      <c r="Z28" s="39"/>
    </row>
    <row r="29" spans="1:26" ht="15.75">
      <c r="A29" s="51" t="s">
        <v>112</v>
      </c>
      <c r="B29" s="54">
        <v>0</v>
      </c>
      <c r="C29" s="45"/>
      <c r="D29" s="45"/>
      <c r="E29" s="45"/>
      <c r="F29" s="39"/>
      <c r="G29" s="39"/>
      <c r="H29" s="39"/>
      <c r="I29" s="39"/>
      <c r="J29" s="39"/>
      <c r="K29" s="39"/>
      <c r="L29" s="39"/>
      <c r="M29" s="39"/>
      <c r="N29" s="39"/>
      <c r="O29" s="39"/>
      <c r="P29" s="39"/>
      <c r="Q29" s="39"/>
      <c r="R29" s="39"/>
      <c r="S29" s="39"/>
      <c r="T29" s="39"/>
      <c r="U29" s="39"/>
      <c r="V29" s="39"/>
      <c r="W29" s="39"/>
      <c r="X29" s="39"/>
      <c r="Y29" s="39"/>
      <c r="Z29" s="39"/>
    </row>
    <row r="30" spans="1:26" ht="30.75">
      <c r="A30" s="50" t="s">
        <v>113</v>
      </c>
      <c r="B30" s="45"/>
      <c r="C30" s="45"/>
      <c r="D30" s="45"/>
      <c r="E30" s="45"/>
      <c r="F30" s="39"/>
      <c r="G30" s="39"/>
      <c r="H30" s="39"/>
      <c r="I30" s="39"/>
      <c r="J30" s="39"/>
      <c r="K30" s="39"/>
      <c r="L30" s="39"/>
      <c r="M30" s="39"/>
      <c r="N30" s="39"/>
      <c r="O30" s="39"/>
      <c r="P30" s="39"/>
      <c r="Q30" s="39"/>
      <c r="R30" s="39"/>
      <c r="S30" s="39"/>
      <c r="T30" s="39"/>
      <c r="U30" s="39"/>
      <c r="V30" s="39"/>
      <c r="W30" s="39"/>
      <c r="X30" s="39"/>
      <c r="Y30" s="39"/>
      <c r="Z30" s="39"/>
    </row>
    <row r="31" spans="1:26" ht="15.75">
      <c r="A31" s="51" t="s">
        <v>26</v>
      </c>
      <c r="B31" s="46">
        <v>2</v>
      </c>
      <c r="C31" s="45"/>
      <c r="D31" s="45"/>
      <c r="E31" s="45"/>
      <c r="F31" s="39"/>
      <c r="G31" s="39"/>
      <c r="H31" s="39"/>
      <c r="I31" s="39"/>
      <c r="J31" s="39"/>
      <c r="K31" s="39"/>
      <c r="L31" s="39"/>
      <c r="M31" s="39"/>
      <c r="N31" s="39"/>
      <c r="O31" s="39"/>
      <c r="P31" s="39"/>
      <c r="Q31" s="39"/>
      <c r="R31" s="39"/>
      <c r="S31" s="39"/>
      <c r="T31" s="39"/>
      <c r="U31" s="39"/>
      <c r="V31" s="39"/>
      <c r="W31" s="39"/>
      <c r="X31" s="39"/>
      <c r="Y31" s="39"/>
      <c r="Z31" s="39"/>
    </row>
    <row r="32" spans="1:26" ht="15.75">
      <c r="A32" s="51" t="s">
        <v>114</v>
      </c>
      <c r="B32" s="54">
        <v>1</v>
      </c>
      <c r="C32" s="45"/>
      <c r="D32" s="45"/>
      <c r="E32" s="45"/>
      <c r="F32" s="39"/>
      <c r="G32" s="39"/>
      <c r="H32" s="39"/>
      <c r="I32" s="39"/>
      <c r="J32" s="39"/>
      <c r="K32" s="39"/>
      <c r="L32" s="39"/>
      <c r="M32" s="39"/>
      <c r="N32" s="39"/>
      <c r="O32" s="39"/>
      <c r="P32" s="39"/>
      <c r="Q32" s="39"/>
      <c r="R32" s="39"/>
      <c r="S32" s="39"/>
      <c r="T32" s="39"/>
      <c r="U32" s="39"/>
      <c r="V32" s="39"/>
      <c r="W32" s="39"/>
      <c r="X32" s="39"/>
      <c r="Y32" s="39"/>
      <c r="Z32" s="39"/>
    </row>
    <row r="33" spans="1:26" ht="15.75">
      <c r="A33" s="51" t="s">
        <v>115</v>
      </c>
      <c r="B33" s="54">
        <v>0</v>
      </c>
      <c r="C33" s="45"/>
      <c r="D33" s="45"/>
      <c r="E33" s="45"/>
      <c r="F33" s="39"/>
      <c r="G33" s="39"/>
      <c r="H33" s="39"/>
      <c r="I33" s="39"/>
      <c r="J33" s="39"/>
      <c r="K33" s="39"/>
      <c r="L33" s="39"/>
      <c r="M33" s="39"/>
      <c r="N33" s="39"/>
      <c r="O33" s="39"/>
      <c r="P33" s="39"/>
      <c r="Q33" s="39"/>
      <c r="R33" s="39"/>
      <c r="S33" s="39"/>
      <c r="T33" s="39"/>
      <c r="U33" s="39"/>
      <c r="V33" s="39"/>
      <c r="W33" s="39"/>
      <c r="X33" s="39"/>
      <c r="Y33" s="39"/>
      <c r="Z33" s="39"/>
    </row>
    <row r="34" spans="1:26" ht="30.75">
      <c r="A34" s="50" t="s">
        <v>116</v>
      </c>
      <c r="B34" s="45"/>
      <c r="C34" s="45"/>
      <c r="D34" s="45"/>
      <c r="E34" s="45"/>
      <c r="F34" s="39"/>
      <c r="G34" s="39"/>
      <c r="H34" s="39"/>
      <c r="I34" s="39"/>
      <c r="J34" s="39"/>
      <c r="K34" s="39"/>
      <c r="L34" s="39"/>
      <c r="M34" s="39"/>
      <c r="N34" s="39"/>
      <c r="O34" s="39"/>
      <c r="P34" s="39"/>
      <c r="Q34" s="39"/>
      <c r="R34" s="39"/>
      <c r="S34" s="39"/>
      <c r="T34" s="39"/>
      <c r="U34" s="39"/>
      <c r="V34" s="39"/>
      <c r="W34" s="39"/>
      <c r="X34" s="39"/>
      <c r="Y34" s="39"/>
      <c r="Z34" s="39"/>
    </row>
    <row r="35" spans="1:26" ht="15.75">
      <c r="A35" s="51" t="s">
        <v>26</v>
      </c>
      <c r="B35" s="46">
        <v>5</v>
      </c>
      <c r="C35" s="45"/>
      <c r="D35" s="45"/>
      <c r="E35" s="45"/>
      <c r="F35" s="39"/>
      <c r="G35" s="39"/>
      <c r="H35" s="39"/>
      <c r="I35" s="39"/>
      <c r="J35" s="39"/>
      <c r="K35" s="39"/>
      <c r="L35" s="39"/>
      <c r="M35" s="39"/>
      <c r="N35" s="39"/>
      <c r="O35" s="39"/>
      <c r="P35" s="39"/>
      <c r="Q35" s="39"/>
      <c r="R35" s="39"/>
      <c r="S35" s="39"/>
      <c r="T35" s="39"/>
      <c r="U35" s="39"/>
      <c r="V35" s="39"/>
      <c r="W35" s="39"/>
      <c r="X35" s="39"/>
      <c r="Y35" s="39"/>
      <c r="Z35" s="39"/>
    </row>
    <row r="36" spans="1:26" ht="15.75">
      <c r="A36" s="51" t="s">
        <v>117</v>
      </c>
      <c r="B36" s="54">
        <v>3</v>
      </c>
      <c r="C36" s="45"/>
      <c r="D36" s="45"/>
      <c r="E36" s="45"/>
      <c r="F36" s="39"/>
      <c r="G36" s="39"/>
      <c r="H36" s="39"/>
      <c r="I36" s="39"/>
      <c r="J36" s="39"/>
      <c r="K36" s="39"/>
      <c r="L36" s="39"/>
      <c r="M36" s="39"/>
      <c r="N36" s="39"/>
      <c r="O36" s="39"/>
      <c r="P36" s="39"/>
      <c r="Q36" s="39"/>
      <c r="R36" s="39"/>
      <c r="S36" s="39"/>
      <c r="T36" s="39"/>
      <c r="U36" s="39"/>
      <c r="V36" s="39"/>
      <c r="W36" s="39"/>
      <c r="X36" s="39"/>
      <c r="Y36" s="39"/>
      <c r="Z36" s="39"/>
    </row>
    <row r="37" spans="1:26" ht="15.75">
      <c r="A37" s="51" t="s">
        <v>118</v>
      </c>
      <c r="B37" s="54">
        <v>0</v>
      </c>
      <c r="C37" s="45"/>
      <c r="D37" s="45"/>
      <c r="E37" s="45"/>
      <c r="F37" s="39"/>
      <c r="G37" s="39"/>
      <c r="H37" s="39"/>
      <c r="I37" s="39"/>
      <c r="J37" s="39"/>
      <c r="K37" s="39"/>
      <c r="L37" s="39"/>
      <c r="M37" s="39"/>
      <c r="N37" s="39"/>
      <c r="O37" s="39"/>
      <c r="P37" s="39"/>
      <c r="Q37" s="39"/>
      <c r="R37" s="39"/>
      <c r="S37" s="39"/>
      <c r="T37" s="39"/>
      <c r="U37" s="39"/>
      <c r="V37" s="39"/>
      <c r="W37" s="39"/>
      <c r="X37" s="39"/>
      <c r="Y37" s="39"/>
      <c r="Z37" s="39"/>
    </row>
    <row r="38" spans="1:26" ht="15.75">
      <c r="A38" s="51" t="s">
        <v>119</v>
      </c>
      <c r="B38" s="54">
        <v>-5</v>
      </c>
      <c r="C38" s="45"/>
      <c r="D38" s="45"/>
      <c r="E38" s="45"/>
      <c r="F38" s="39"/>
      <c r="G38" s="39"/>
      <c r="H38" s="39"/>
      <c r="I38" s="39"/>
      <c r="J38" s="39"/>
      <c r="K38" s="39"/>
      <c r="L38" s="39"/>
      <c r="M38" s="39"/>
      <c r="N38" s="39"/>
      <c r="O38" s="39"/>
      <c r="P38" s="39"/>
      <c r="Q38" s="39"/>
      <c r="R38" s="39"/>
      <c r="S38" s="39"/>
      <c r="T38" s="39"/>
      <c r="U38" s="39"/>
      <c r="V38" s="39"/>
      <c r="W38" s="39"/>
      <c r="X38" s="39"/>
      <c r="Y38" s="39"/>
      <c r="Z38" s="39"/>
    </row>
    <row r="39" spans="1:26" ht="31.5">
      <c r="A39" s="55" t="s">
        <v>120</v>
      </c>
      <c r="B39" s="45"/>
      <c r="C39" s="45"/>
      <c r="D39" s="45"/>
      <c r="E39" s="45"/>
      <c r="F39" s="39"/>
      <c r="G39" s="39"/>
      <c r="H39" s="39"/>
      <c r="I39" s="39"/>
      <c r="J39" s="39"/>
      <c r="K39" s="39"/>
      <c r="L39" s="39"/>
      <c r="M39" s="39"/>
      <c r="N39" s="39"/>
      <c r="O39" s="39"/>
      <c r="P39" s="39"/>
      <c r="Q39" s="39"/>
      <c r="R39" s="39"/>
      <c r="S39" s="39"/>
      <c r="T39" s="39"/>
      <c r="U39" s="39"/>
      <c r="V39" s="39"/>
      <c r="W39" s="39"/>
      <c r="X39" s="39"/>
      <c r="Y39" s="39"/>
      <c r="Z39" s="39"/>
    </row>
    <row r="40" spans="1:26" ht="15.75">
      <c r="A40" s="50" t="s">
        <v>121</v>
      </c>
      <c r="B40" s="46">
        <v>3</v>
      </c>
      <c r="C40" s="45"/>
      <c r="D40" s="45"/>
      <c r="E40" s="45"/>
      <c r="F40" s="39"/>
      <c r="G40" s="39"/>
      <c r="H40" s="39"/>
      <c r="I40" s="39"/>
      <c r="J40" s="39"/>
      <c r="K40" s="39"/>
      <c r="L40" s="39"/>
      <c r="M40" s="39"/>
      <c r="N40" s="39"/>
      <c r="O40" s="39"/>
      <c r="P40" s="39"/>
      <c r="Q40" s="39"/>
      <c r="R40" s="39"/>
      <c r="S40" s="39"/>
      <c r="T40" s="39"/>
      <c r="U40" s="39"/>
      <c r="V40" s="39"/>
      <c r="W40" s="39"/>
      <c r="X40" s="39"/>
      <c r="Y40" s="39"/>
      <c r="Z40" s="39"/>
    </row>
    <row r="41" spans="1:26" ht="15.75">
      <c r="A41" s="50" t="s">
        <v>122</v>
      </c>
      <c r="B41" s="54">
        <v>0</v>
      </c>
      <c r="C41" s="45"/>
      <c r="D41" s="45"/>
      <c r="E41" s="45"/>
      <c r="F41" s="39"/>
      <c r="G41" s="39"/>
      <c r="H41" s="39"/>
      <c r="I41" s="39"/>
      <c r="J41" s="39"/>
      <c r="K41" s="39"/>
      <c r="L41" s="39"/>
      <c r="M41" s="39"/>
      <c r="N41" s="39"/>
      <c r="O41" s="39"/>
      <c r="P41" s="39"/>
      <c r="Q41" s="39"/>
      <c r="R41" s="39"/>
      <c r="S41" s="39"/>
      <c r="T41" s="39"/>
      <c r="U41" s="39"/>
      <c r="V41" s="39"/>
      <c r="W41" s="39"/>
      <c r="X41" s="39"/>
      <c r="Y41" s="39"/>
      <c r="Z41" s="39"/>
    </row>
    <row r="42" spans="1:26" ht="15.75">
      <c r="A42" s="51" t="s">
        <v>123</v>
      </c>
      <c r="B42" s="54">
        <v>-5</v>
      </c>
      <c r="C42" s="45"/>
      <c r="D42" s="45"/>
      <c r="E42" s="45"/>
      <c r="F42" s="39"/>
      <c r="G42" s="39"/>
      <c r="H42" s="39"/>
      <c r="I42" s="39"/>
      <c r="J42" s="39"/>
      <c r="K42" s="39"/>
      <c r="L42" s="39"/>
      <c r="M42" s="39"/>
      <c r="N42" s="39"/>
      <c r="O42" s="39"/>
      <c r="P42" s="39"/>
      <c r="Q42" s="39"/>
      <c r="R42" s="39"/>
      <c r="S42" s="39"/>
      <c r="T42" s="39"/>
      <c r="U42" s="39"/>
      <c r="V42" s="39"/>
      <c r="W42" s="39"/>
      <c r="X42" s="39"/>
      <c r="Y42" s="39"/>
      <c r="Z42" s="39"/>
    </row>
    <row r="43" spans="1:26" ht="31.5">
      <c r="A43" s="56" t="s">
        <v>124</v>
      </c>
      <c r="B43" s="45"/>
      <c r="C43" s="45"/>
      <c r="D43" s="45"/>
      <c r="E43" s="45"/>
      <c r="F43" s="39"/>
      <c r="G43" s="39"/>
      <c r="H43" s="39"/>
      <c r="I43" s="39"/>
      <c r="J43" s="39"/>
      <c r="K43" s="39"/>
      <c r="L43" s="39"/>
      <c r="M43" s="39"/>
      <c r="N43" s="39"/>
      <c r="O43" s="39"/>
      <c r="P43" s="39"/>
      <c r="Q43" s="39"/>
      <c r="R43" s="39"/>
      <c r="S43" s="39"/>
      <c r="T43" s="39"/>
      <c r="U43" s="39"/>
      <c r="V43" s="39"/>
      <c r="W43" s="39"/>
      <c r="X43" s="39"/>
      <c r="Y43" s="39"/>
      <c r="Z43" s="39"/>
    </row>
    <row r="44" spans="1:26" ht="15.75">
      <c r="A44" s="57" t="s">
        <v>125</v>
      </c>
      <c r="B44" s="46">
        <v>3</v>
      </c>
      <c r="C44" s="45"/>
      <c r="D44" s="45"/>
      <c r="E44" s="45"/>
      <c r="F44" s="39"/>
      <c r="G44" s="39"/>
      <c r="H44" s="39"/>
      <c r="I44" s="39"/>
      <c r="J44" s="39"/>
      <c r="K44" s="39"/>
      <c r="L44" s="39"/>
      <c r="M44" s="39"/>
      <c r="N44" s="39"/>
      <c r="O44" s="39"/>
      <c r="P44" s="39"/>
      <c r="Q44" s="39"/>
      <c r="R44" s="39"/>
      <c r="S44" s="39"/>
      <c r="T44" s="39"/>
      <c r="U44" s="39"/>
      <c r="V44" s="39"/>
      <c r="W44" s="39"/>
      <c r="X44" s="39"/>
      <c r="Y44" s="39"/>
      <c r="Z44" s="39"/>
    </row>
    <row r="45" spans="1:26" ht="15.75">
      <c r="A45" s="58" t="s">
        <v>126</v>
      </c>
      <c r="B45" s="54">
        <v>0</v>
      </c>
      <c r="C45" s="45"/>
      <c r="D45" s="45"/>
      <c r="E45" s="45"/>
      <c r="F45" s="39"/>
      <c r="G45" s="39"/>
      <c r="H45" s="39"/>
      <c r="I45" s="39"/>
      <c r="J45" s="39"/>
      <c r="K45" s="39"/>
      <c r="L45" s="39"/>
      <c r="M45" s="39"/>
      <c r="N45" s="39"/>
      <c r="O45" s="39"/>
      <c r="P45" s="39"/>
      <c r="Q45" s="39"/>
      <c r="R45" s="39"/>
      <c r="S45" s="39"/>
      <c r="T45" s="39"/>
      <c r="U45" s="39"/>
      <c r="V45" s="39"/>
      <c r="W45" s="39"/>
      <c r="X45" s="39"/>
      <c r="Y45" s="39"/>
      <c r="Z45" s="39"/>
    </row>
    <row r="46" spans="1:26" ht="15.75">
      <c r="A46" s="55" t="s">
        <v>127</v>
      </c>
      <c r="B46" s="46"/>
      <c r="C46" s="45"/>
      <c r="D46" s="45"/>
      <c r="E46" s="45"/>
      <c r="F46" s="39"/>
      <c r="G46" s="39"/>
      <c r="H46" s="39"/>
      <c r="I46" s="39"/>
      <c r="J46" s="39"/>
      <c r="K46" s="39"/>
      <c r="L46" s="39"/>
      <c r="M46" s="39"/>
      <c r="N46" s="39"/>
      <c r="O46" s="39"/>
      <c r="P46" s="39"/>
      <c r="Q46" s="39"/>
      <c r="R46" s="39"/>
      <c r="S46" s="39"/>
      <c r="T46" s="39"/>
      <c r="U46" s="39"/>
      <c r="V46" s="39"/>
      <c r="W46" s="39"/>
      <c r="X46" s="39"/>
      <c r="Y46" s="39"/>
      <c r="Z46" s="39"/>
    </row>
    <row r="47" spans="1:26" ht="15.75">
      <c r="A47" s="51" t="s">
        <v>52</v>
      </c>
      <c r="B47" s="46">
        <v>7</v>
      </c>
      <c r="C47" s="45"/>
      <c r="D47" s="45"/>
      <c r="E47" s="45"/>
      <c r="F47" s="39"/>
      <c r="G47" s="39"/>
      <c r="H47" s="39"/>
      <c r="I47" s="39"/>
      <c r="J47" s="39"/>
      <c r="K47" s="39"/>
      <c r="L47" s="39"/>
      <c r="M47" s="39"/>
      <c r="N47" s="39"/>
      <c r="O47" s="39"/>
      <c r="P47" s="39"/>
      <c r="Q47" s="39"/>
      <c r="R47" s="39"/>
      <c r="S47" s="39"/>
      <c r="T47" s="39"/>
      <c r="U47" s="39"/>
      <c r="V47" s="39"/>
      <c r="W47" s="39"/>
      <c r="X47" s="39"/>
      <c r="Y47" s="39"/>
      <c r="Z47" s="39"/>
    </row>
    <row r="48" spans="1:26" ht="15.75">
      <c r="A48" s="51" t="s">
        <v>128</v>
      </c>
      <c r="B48" s="54">
        <v>-5</v>
      </c>
      <c r="C48" s="45"/>
      <c r="D48" s="45"/>
      <c r="E48" s="45"/>
      <c r="F48" s="39"/>
      <c r="G48" s="39"/>
      <c r="H48" s="39"/>
      <c r="I48" s="39"/>
      <c r="J48" s="39"/>
      <c r="K48" s="39"/>
      <c r="L48" s="39"/>
      <c r="M48" s="39"/>
      <c r="N48" s="39"/>
      <c r="O48" s="39"/>
      <c r="P48" s="39"/>
      <c r="Q48" s="39"/>
      <c r="R48" s="39"/>
      <c r="S48" s="39"/>
      <c r="T48" s="39"/>
      <c r="U48" s="39"/>
      <c r="V48" s="39"/>
      <c r="W48" s="39"/>
      <c r="X48" s="39"/>
      <c r="Y48" s="39"/>
      <c r="Z48" s="39"/>
    </row>
    <row r="49" spans="1:26" ht="15.75">
      <c r="A49" s="51" t="s">
        <v>129</v>
      </c>
      <c r="B49" s="54">
        <v>-10</v>
      </c>
      <c r="C49" s="45"/>
      <c r="D49" s="45"/>
      <c r="E49" s="45"/>
      <c r="F49" s="39"/>
      <c r="G49" s="39"/>
      <c r="H49" s="39"/>
      <c r="I49" s="39"/>
      <c r="J49" s="39"/>
      <c r="K49" s="39"/>
      <c r="L49" s="39"/>
      <c r="M49" s="39"/>
      <c r="N49" s="39"/>
      <c r="O49" s="39"/>
      <c r="P49" s="39"/>
      <c r="Q49" s="39"/>
      <c r="R49" s="39"/>
      <c r="S49" s="39"/>
      <c r="T49" s="39"/>
      <c r="U49" s="39"/>
      <c r="V49" s="39"/>
      <c r="W49" s="39"/>
      <c r="X49" s="39"/>
      <c r="Y49" s="39"/>
      <c r="Z49" s="39"/>
    </row>
    <row r="50" spans="1:26" ht="20.25" customHeight="1">
      <c r="A50" s="59" t="s">
        <v>130</v>
      </c>
      <c r="B50" s="48">
        <f>SUM(B52,B56)</f>
        <v>10</v>
      </c>
      <c r="C50" s="49"/>
      <c r="D50" s="49"/>
      <c r="E50" s="49"/>
      <c r="F50" s="39"/>
      <c r="G50" s="39"/>
      <c r="H50" s="39"/>
      <c r="I50" s="39"/>
      <c r="J50" s="39"/>
      <c r="K50" s="39"/>
      <c r="L50" s="39"/>
      <c r="M50" s="39"/>
      <c r="N50" s="39"/>
      <c r="O50" s="39"/>
      <c r="P50" s="39"/>
      <c r="Q50" s="39"/>
      <c r="R50" s="39"/>
      <c r="S50" s="39"/>
      <c r="T50" s="39"/>
      <c r="U50" s="39"/>
      <c r="V50" s="39"/>
      <c r="W50" s="39"/>
      <c r="X50" s="39"/>
      <c r="Y50" s="39"/>
      <c r="Z50" s="39"/>
    </row>
    <row r="51" spans="1:26" ht="15.75">
      <c r="A51" s="60" t="s">
        <v>131</v>
      </c>
      <c r="B51" s="45"/>
      <c r="C51" s="45"/>
      <c r="D51" s="45"/>
      <c r="E51" s="45"/>
      <c r="F51" s="39"/>
      <c r="G51" s="39"/>
      <c r="H51" s="39"/>
      <c r="I51" s="39"/>
      <c r="J51" s="39"/>
      <c r="K51" s="39"/>
      <c r="L51" s="39"/>
      <c r="M51" s="39"/>
      <c r="N51" s="39"/>
      <c r="O51" s="39"/>
      <c r="P51" s="39"/>
      <c r="Q51" s="39"/>
      <c r="R51" s="39"/>
      <c r="S51" s="39"/>
      <c r="T51" s="39"/>
      <c r="U51" s="39"/>
      <c r="V51" s="39"/>
      <c r="W51" s="39"/>
      <c r="X51" s="39"/>
      <c r="Y51" s="39"/>
      <c r="Z51" s="39"/>
    </row>
    <row r="52" spans="1:26" ht="15.75">
      <c r="A52" s="61" t="s">
        <v>132</v>
      </c>
      <c r="B52" s="46">
        <v>7</v>
      </c>
      <c r="C52" s="45"/>
      <c r="D52" s="45"/>
      <c r="E52" s="45"/>
      <c r="F52" s="39"/>
      <c r="G52" s="39"/>
      <c r="H52" s="39"/>
      <c r="I52" s="39"/>
      <c r="J52" s="39"/>
      <c r="K52" s="39"/>
      <c r="L52" s="39"/>
      <c r="M52" s="39"/>
      <c r="N52" s="39"/>
      <c r="O52" s="39"/>
      <c r="P52" s="39"/>
      <c r="Q52" s="39"/>
      <c r="R52" s="39"/>
      <c r="S52" s="39"/>
      <c r="T52" s="39"/>
      <c r="U52" s="39"/>
      <c r="V52" s="39"/>
      <c r="W52" s="39"/>
      <c r="X52" s="39"/>
      <c r="Y52" s="39"/>
      <c r="Z52" s="39"/>
    </row>
    <row r="53" spans="1:26" ht="15.75">
      <c r="A53" s="61" t="s">
        <v>133</v>
      </c>
      <c r="B53" s="54">
        <v>5</v>
      </c>
      <c r="C53" s="45"/>
      <c r="D53" s="45"/>
      <c r="E53" s="45"/>
      <c r="F53" s="39"/>
      <c r="G53" s="39"/>
      <c r="H53" s="39"/>
      <c r="I53" s="39"/>
      <c r="J53" s="39"/>
      <c r="K53" s="39"/>
      <c r="L53" s="39"/>
      <c r="M53" s="39"/>
      <c r="N53" s="39"/>
      <c r="O53" s="39"/>
      <c r="P53" s="39"/>
      <c r="Q53" s="39"/>
      <c r="R53" s="39"/>
      <c r="S53" s="39"/>
      <c r="T53" s="39"/>
      <c r="U53" s="39"/>
      <c r="V53" s="39"/>
      <c r="W53" s="39"/>
      <c r="X53" s="39"/>
      <c r="Y53" s="39"/>
      <c r="Z53" s="39"/>
    </row>
    <row r="54" spans="1:26" ht="15.75">
      <c r="A54" s="61" t="s">
        <v>134</v>
      </c>
      <c r="B54" s="54">
        <v>0</v>
      </c>
      <c r="C54" s="45"/>
      <c r="D54" s="45"/>
      <c r="E54" s="45"/>
      <c r="F54" s="39"/>
      <c r="G54" s="39"/>
      <c r="H54" s="39"/>
      <c r="I54" s="39"/>
      <c r="J54" s="39"/>
      <c r="K54" s="39"/>
      <c r="L54" s="39"/>
      <c r="M54" s="39"/>
      <c r="N54" s="39"/>
      <c r="O54" s="39"/>
      <c r="P54" s="39"/>
      <c r="Q54" s="39"/>
      <c r="R54" s="39"/>
      <c r="S54" s="39"/>
      <c r="T54" s="39"/>
      <c r="U54" s="39"/>
      <c r="V54" s="39"/>
      <c r="W54" s="39"/>
      <c r="X54" s="39"/>
      <c r="Y54" s="39"/>
      <c r="Z54" s="39"/>
    </row>
    <row r="55" spans="1:26" ht="15.75">
      <c r="A55" s="60" t="s">
        <v>135</v>
      </c>
      <c r="B55" s="54"/>
      <c r="C55" s="45"/>
      <c r="D55" s="45"/>
      <c r="E55" s="45"/>
      <c r="F55" s="39"/>
      <c r="G55" s="39"/>
      <c r="H55" s="39"/>
      <c r="I55" s="39"/>
      <c r="J55" s="39"/>
      <c r="K55" s="39"/>
      <c r="L55" s="39"/>
      <c r="M55" s="39"/>
      <c r="N55" s="39"/>
      <c r="O55" s="39"/>
      <c r="P55" s="39"/>
      <c r="Q55" s="39"/>
      <c r="R55" s="39"/>
      <c r="S55" s="39"/>
      <c r="T55" s="39"/>
      <c r="U55" s="39"/>
      <c r="V55" s="39"/>
      <c r="W55" s="39"/>
      <c r="X55" s="39"/>
      <c r="Y55" s="39"/>
      <c r="Z55" s="39"/>
    </row>
    <row r="56" spans="1:26" ht="15.75">
      <c r="A56" s="62" t="s">
        <v>136</v>
      </c>
      <c r="B56" s="54">
        <v>3</v>
      </c>
      <c r="C56" s="45"/>
      <c r="D56" s="45"/>
      <c r="E56" s="45"/>
      <c r="F56" s="39"/>
      <c r="G56" s="39"/>
      <c r="H56" s="39"/>
      <c r="I56" s="39"/>
      <c r="J56" s="39"/>
      <c r="K56" s="39"/>
      <c r="L56" s="39"/>
      <c r="M56" s="39"/>
      <c r="N56" s="39"/>
      <c r="O56" s="39"/>
      <c r="P56" s="39"/>
      <c r="Q56" s="39"/>
      <c r="R56" s="39"/>
      <c r="S56" s="39"/>
      <c r="T56" s="39"/>
      <c r="U56" s="39"/>
      <c r="V56" s="39"/>
      <c r="W56" s="39"/>
      <c r="X56" s="39"/>
      <c r="Y56" s="39"/>
      <c r="Z56" s="39"/>
    </row>
    <row r="57" spans="1:26" ht="15.75">
      <c r="A57" s="62" t="s">
        <v>137</v>
      </c>
      <c r="B57" s="54">
        <v>1</v>
      </c>
      <c r="C57" s="45"/>
      <c r="D57" s="45"/>
      <c r="E57" s="45"/>
      <c r="F57" s="39"/>
      <c r="G57" s="39"/>
      <c r="H57" s="39"/>
      <c r="I57" s="39"/>
      <c r="J57" s="39"/>
      <c r="K57" s="39"/>
      <c r="L57" s="39"/>
      <c r="M57" s="39"/>
      <c r="N57" s="39"/>
      <c r="O57" s="39"/>
      <c r="P57" s="39"/>
      <c r="Q57" s="39"/>
      <c r="R57" s="39"/>
      <c r="S57" s="39"/>
      <c r="T57" s="39"/>
      <c r="U57" s="39"/>
      <c r="V57" s="39"/>
      <c r="W57" s="39"/>
      <c r="X57" s="39"/>
      <c r="Y57" s="39"/>
      <c r="Z57" s="39"/>
    </row>
    <row r="58" spans="1:26" ht="15.75">
      <c r="A58" s="62" t="s">
        <v>138</v>
      </c>
      <c r="B58" s="46">
        <v>0</v>
      </c>
      <c r="C58" s="45"/>
      <c r="D58" s="45"/>
      <c r="E58" s="45"/>
      <c r="F58" s="39"/>
      <c r="G58" s="39"/>
      <c r="H58" s="39"/>
      <c r="I58" s="39"/>
      <c r="J58" s="39"/>
      <c r="K58" s="39"/>
      <c r="L58" s="39"/>
      <c r="M58" s="39"/>
      <c r="N58" s="39"/>
      <c r="O58" s="39"/>
      <c r="P58" s="39"/>
      <c r="Q58" s="39"/>
      <c r="R58" s="39"/>
      <c r="S58" s="39"/>
      <c r="T58" s="39"/>
      <c r="U58" s="39"/>
      <c r="V58" s="39"/>
      <c r="W58" s="39"/>
      <c r="X58" s="39"/>
      <c r="Y58" s="39"/>
      <c r="Z58" s="39"/>
    </row>
    <row r="59" spans="1:26" ht="19.5" customHeight="1">
      <c r="A59" s="47" t="s">
        <v>139</v>
      </c>
      <c r="B59" s="48">
        <f>SUM(B61,B65,B68,B73)</f>
        <v>15</v>
      </c>
      <c r="C59" s="49"/>
      <c r="D59" s="49"/>
      <c r="E59" s="49"/>
      <c r="F59" s="39"/>
      <c r="G59" s="39"/>
      <c r="H59" s="39"/>
      <c r="I59" s="39"/>
      <c r="J59" s="39"/>
      <c r="K59" s="39"/>
      <c r="L59" s="39"/>
      <c r="M59" s="39"/>
      <c r="N59" s="39"/>
      <c r="O59" s="39"/>
      <c r="P59" s="39"/>
      <c r="Q59" s="39"/>
      <c r="R59" s="39"/>
      <c r="S59" s="39"/>
      <c r="T59" s="39"/>
      <c r="U59" s="39"/>
      <c r="V59" s="39"/>
      <c r="W59" s="39"/>
      <c r="X59" s="39"/>
      <c r="Y59" s="39"/>
      <c r="Z59" s="39"/>
    </row>
    <row r="60" spans="1:26" ht="31.5">
      <c r="A60" s="55" t="s">
        <v>140</v>
      </c>
      <c r="B60" s="45"/>
      <c r="C60" s="45"/>
      <c r="D60" s="45"/>
      <c r="E60" s="45"/>
      <c r="F60" s="39"/>
      <c r="G60" s="39"/>
      <c r="H60" s="39"/>
      <c r="I60" s="39"/>
      <c r="J60" s="39"/>
      <c r="K60" s="39"/>
      <c r="L60" s="39"/>
      <c r="M60" s="39"/>
      <c r="N60" s="39"/>
      <c r="O60" s="39"/>
      <c r="P60" s="39"/>
      <c r="Q60" s="39"/>
      <c r="R60" s="39"/>
      <c r="S60" s="39"/>
      <c r="T60" s="39"/>
      <c r="U60" s="39"/>
      <c r="V60" s="39"/>
      <c r="W60" s="39"/>
      <c r="X60" s="39"/>
      <c r="Y60" s="39"/>
      <c r="Z60" s="39"/>
    </row>
    <row r="61" spans="1:26" ht="15.75">
      <c r="A61" s="51" t="s">
        <v>141</v>
      </c>
      <c r="B61" s="46">
        <v>3</v>
      </c>
      <c r="C61" s="45"/>
      <c r="D61" s="45"/>
      <c r="E61" s="45"/>
      <c r="F61" s="39"/>
      <c r="G61" s="39"/>
      <c r="H61" s="39"/>
      <c r="I61" s="39"/>
      <c r="J61" s="39"/>
      <c r="K61" s="39"/>
      <c r="L61" s="39"/>
      <c r="M61" s="39"/>
      <c r="N61" s="39"/>
      <c r="O61" s="39"/>
      <c r="P61" s="39"/>
      <c r="Q61" s="39"/>
      <c r="R61" s="39"/>
      <c r="S61" s="39"/>
      <c r="T61" s="39"/>
      <c r="U61" s="39"/>
      <c r="V61" s="39"/>
      <c r="W61" s="39"/>
      <c r="X61" s="39"/>
      <c r="Y61" s="39"/>
      <c r="Z61" s="39"/>
    </row>
    <row r="62" spans="1:26" ht="15.75">
      <c r="A62" s="51" t="s">
        <v>142</v>
      </c>
      <c r="B62" s="54">
        <v>2</v>
      </c>
      <c r="C62" s="45"/>
      <c r="D62" s="45"/>
      <c r="E62" s="45"/>
      <c r="F62" s="39"/>
      <c r="G62" s="39"/>
      <c r="H62" s="39"/>
      <c r="I62" s="39"/>
      <c r="J62" s="39"/>
      <c r="K62" s="39"/>
      <c r="L62" s="39"/>
      <c r="M62" s="39"/>
      <c r="N62" s="39"/>
      <c r="O62" s="39"/>
      <c r="P62" s="39"/>
      <c r="Q62" s="39"/>
      <c r="R62" s="39"/>
      <c r="S62" s="39"/>
      <c r="T62" s="39"/>
      <c r="U62" s="39"/>
      <c r="V62" s="39"/>
      <c r="W62" s="39"/>
      <c r="X62" s="39"/>
      <c r="Y62" s="39"/>
      <c r="Z62" s="39"/>
    </row>
    <row r="63" spans="1:26" ht="15.75">
      <c r="A63" s="51" t="s">
        <v>143</v>
      </c>
      <c r="B63" s="54">
        <v>0</v>
      </c>
      <c r="C63" s="45"/>
      <c r="D63" s="45"/>
      <c r="E63" s="45"/>
      <c r="F63" s="39"/>
      <c r="G63" s="39"/>
      <c r="H63" s="39"/>
      <c r="I63" s="39"/>
      <c r="J63" s="39"/>
      <c r="K63" s="39"/>
      <c r="L63" s="39"/>
      <c r="M63" s="39"/>
      <c r="N63" s="39"/>
      <c r="O63" s="39"/>
      <c r="P63" s="39"/>
      <c r="Q63" s="39"/>
      <c r="R63" s="39"/>
      <c r="S63" s="39"/>
      <c r="T63" s="39"/>
      <c r="U63" s="39"/>
      <c r="V63" s="39"/>
      <c r="W63" s="39"/>
      <c r="X63" s="39"/>
      <c r="Y63" s="39"/>
      <c r="Z63" s="39"/>
    </row>
    <row r="64" spans="1:26" ht="31.5">
      <c r="A64" s="55" t="s">
        <v>144</v>
      </c>
      <c r="B64" s="45"/>
      <c r="C64" s="45"/>
      <c r="D64" s="45"/>
      <c r="E64" s="45"/>
      <c r="F64" s="39"/>
      <c r="G64" s="39"/>
      <c r="H64" s="39"/>
      <c r="I64" s="39"/>
      <c r="J64" s="39"/>
      <c r="K64" s="39"/>
      <c r="L64" s="39"/>
      <c r="M64" s="39"/>
      <c r="N64" s="39"/>
      <c r="O64" s="39"/>
      <c r="P64" s="39"/>
      <c r="Q64" s="39"/>
      <c r="R64" s="39"/>
      <c r="S64" s="39"/>
      <c r="T64" s="39"/>
      <c r="U64" s="39"/>
      <c r="V64" s="39"/>
      <c r="W64" s="39"/>
      <c r="X64" s="39"/>
      <c r="Y64" s="39"/>
      <c r="Z64" s="39"/>
    </row>
    <row r="65" spans="1:26" ht="15.75">
      <c r="A65" s="51" t="s">
        <v>145</v>
      </c>
      <c r="B65" s="46">
        <v>5</v>
      </c>
      <c r="C65" s="45"/>
      <c r="D65" s="45"/>
      <c r="E65" s="45"/>
      <c r="F65" s="39"/>
      <c r="G65" s="39"/>
      <c r="H65" s="39"/>
      <c r="I65" s="39"/>
      <c r="J65" s="39"/>
      <c r="K65" s="39"/>
      <c r="L65" s="39"/>
      <c r="M65" s="39"/>
      <c r="N65" s="39"/>
      <c r="O65" s="39"/>
      <c r="P65" s="39"/>
      <c r="Q65" s="39"/>
      <c r="R65" s="39"/>
      <c r="S65" s="39"/>
      <c r="T65" s="39"/>
      <c r="U65" s="39"/>
      <c r="V65" s="39"/>
      <c r="W65" s="39"/>
      <c r="X65" s="39"/>
      <c r="Y65" s="39"/>
      <c r="Z65" s="39"/>
    </row>
    <row r="66" spans="1:26" ht="15.75">
      <c r="A66" s="51" t="s">
        <v>146</v>
      </c>
      <c r="B66" s="54">
        <v>0</v>
      </c>
      <c r="C66" s="45"/>
      <c r="D66" s="45"/>
      <c r="E66" s="45"/>
      <c r="F66" s="39"/>
      <c r="G66" s="39"/>
      <c r="H66" s="39"/>
      <c r="I66" s="39"/>
      <c r="J66" s="39"/>
      <c r="K66" s="39"/>
      <c r="L66" s="39"/>
      <c r="M66" s="39"/>
      <c r="N66" s="39"/>
      <c r="O66" s="39"/>
      <c r="P66" s="39"/>
      <c r="Q66" s="39"/>
      <c r="R66" s="39"/>
      <c r="S66" s="39"/>
      <c r="T66" s="39"/>
      <c r="U66" s="39"/>
      <c r="V66" s="39"/>
      <c r="W66" s="39"/>
      <c r="X66" s="39"/>
      <c r="Y66" s="39"/>
      <c r="Z66" s="39"/>
    </row>
    <row r="67" spans="1:26" ht="33" customHeight="1">
      <c r="A67" s="56" t="s">
        <v>147</v>
      </c>
      <c r="B67" s="45"/>
      <c r="C67" s="45"/>
      <c r="D67" s="45"/>
      <c r="E67" s="45"/>
      <c r="F67" s="39"/>
      <c r="G67" s="39"/>
      <c r="H67" s="39"/>
      <c r="I67" s="39"/>
      <c r="J67" s="39"/>
      <c r="K67" s="39"/>
      <c r="L67" s="39"/>
      <c r="M67" s="39"/>
      <c r="N67" s="39"/>
      <c r="O67" s="39"/>
      <c r="P67" s="39"/>
      <c r="Q67" s="39"/>
      <c r="R67" s="39"/>
      <c r="S67" s="39"/>
      <c r="T67" s="39"/>
      <c r="U67" s="39"/>
      <c r="V67" s="39"/>
      <c r="W67" s="39"/>
      <c r="X67" s="39"/>
      <c r="Y67" s="39"/>
      <c r="Z67" s="39"/>
    </row>
    <row r="68" spans="1:26" ht="47.25">
      <c r="A68" s="58" t="s">
        <v>148</v>
      </c>
      <c r="B68" s="46">
        <v>2</v>
      </c>
      <c r="C68" s="45"/>
      <c r="D68" s="45"/>
      <c r="E68" s="45"/>
      <c r="F68" s="39"/>
      <c r="G68" s="39"/>
      <c r="H68" s="39"/>
      <c r="I68" s="39"/>
      <c r="J68" s="39"/>
      <c r="K68" s="39"/>
      <c r="L68" s="39"/>
      <c r="M68" s="39"/>
      <c r="N68" s="39"/>
      <c r="O68" s="39"/>
      <c r="P68" s="39"/>
      <c r="Q68" s="39"/>
      <c r="R68" s="39"/>
      <c r="S68" s="39"/>
      <c r="T68" s="39"/>
      <c r="U68" s="39"/>
      <c r="V68" s="39"/>
      <c r="W68" s="39"/>
      <c r="X68" s="39"/>
      <c r="Y68" s="39"/>
      <c r="Z68" s="39"/>
    </row>
    <row r="69" spans="1:26" ht="15.75">
      <c r="A69" s="58" t="s">
        <v>149</v>
      </c>
      <c r="B69" s="54">
        <v>1</v>
      </c>
      <c r="C69" s="45"/>
      <c r="D69" s="45"/>
      <c r="E69" s="45"/>
      <c r="F69" s="39"/>
      <c r="G69" s="39"/>
      <c r="H69" s="39"/>
      <c r="I69" s="39"/>
      <c r="J69" s="39"/>
      <c r="K69" s="39"/>
      <c r="L69" s="39"/>
      <c r="M69" s="39"/>
      <c r="N69" s="39"/>
      <c r="O69" s="39"/>
      <c r="P69" s="39"/>
      <c r="Q69" s="39"/>
      <c r="R69" s="39"/>
      <c r="S69" s="39"/>
      <c r="T69" s="39"/>
      <c r="U69" s="39"/>
      <c r="V69" s="39"/>
      <c r="W69" s="39"/>
      <c r="X69" s="39"/>
      <c r="Y69" s="39"/>
      <c r="Z69" s="39"/>
    </row>
    <row r="70" spans="1:26" ht="15.75">
      <c r="A70" s="58" t="s">
        <v>63</v>
      </c>
      <c r="B70" s="54">
        <v>0</v>
      </c>
      <c r="C70" s="45"/>
      <c r="D70" s="45"/>
      <c r="E70" s="45"/>
      <c r="F70" s="39"/>
      <c r="G70" s="39"/>
      <c r="H70" s="39"/>
      <c r="I70" s="39"/>
      <c r="J70" s="39"/>
      <c r="K70" s="39"/>
      <c r="L70" s="39"/>
      <c r="M70" s="39"/>
      <c r="N70" s="39"/>
      <c r="O70" s="39"/>
      <c r="P70" s="39"/>
      <c r="Q70" s="39"/>
      <c r="R70" s="39"/>
      <c r="S70" s="39"/>
      <c r="T70" s="39"/>
      <c r="U70" s="39"/>
      <c r="V70" s="39"/>
      <c r="W70" s="39"/>
      <c r="X70" s="39"/>
      <c r="Y70" s="39"/>
      <c r="Z70" s="39"/>
    </row>
    <row r="71" spans="1:26" ht="30">
      <c r="A71" s="58" t="s">
        <v>150</v>
      </c>
      <c r="B71" s="54">
        <v>-5</v>
      </c>
      <c r="C71" s="45"/>
      <c r="D71" s="45"/>
      <c r="E71" s="45"/>
      <c r="F71" s="39"/>
      <c r="G71" s="39"/>
      <c r="H71" s="39"/>
      <c r="I71" s="39"/>
      <c r="J71" s="39"/>
      <c r="K71" s="39"/>
      <c r="L71" s="39"/>
      <c r="M71" s="39"/>
      <c r="N71" s="39"/>
      <c r="O71" s="39"/>
      <c r="P71" s="39"/>
      <c r="Q71" s="39"/>
      <c r="R71" s="39"/>
      <c r="S71" s="39"/>
      <c r="T71" s="39"/>
      <c r="U71" s="39"/>
      <c r="V71" s="39"/>
      <c r="W71" s="39"/>
      <c r="X71" s="39"/>
      <c r="Y71" s="39"/>
      <c r="Z71" s="39"/>
    </row>
    <row r="72" spans="1:26" ht="15.75">
      <c r="A72" s="60" t="s">
        <v>151</v>
      </c>
      <c r="B72" s="46"/>
      <c r="C72" s="45"/>
      <c r="D72" s="45"/>
      <c r="E72" s="45"/>
      <c r="F72" s="39"/>
      <c r="G72" s="39"/>
      <c r="H72" s="39"/>
      <c r="I72" s="39"/>
      <c r="J72" s="39"/>
      <c r="K72" s="39"/>
      <c r="L72" s="39"/>
      <c r="M72" s="39"/>
      <c r="N72" s="39"/>
      <c r="O72" s="39"/>
      <c r="P72" s="39"/>
      <c r="Q72" s="39"/>
      <c r="R72" s="39"/>
      <c r="S72" s="39"/>
      <c r="T72" s="39"/>
      <c r="U72" s="39"/>
      <c r="V72" s="39"/>
      <c r="W72" s="39"/>
      <c r="X72" s="39"/>
      <c r="Y72" s="39"/>
      <c r="Z72" s="39"/>
    </row>
    <row r="73" spans="1:26" ht="15.75">
      <c r="A73" s="62" t="s">
        <v>152</v>
      </c>
      <c r="B73" s="46">
        <v>5</v>
      </c>
      <c r="C73" s="45"/>
      <c r="D73" s="45"/>
      <c r="E73" s="45"/>
      <c r="F73" s="39"/>
      <c r="G73" s="39"/>
      <c r="H73" s="39"/>
      <c r="I73" s="39"/>
      <c r="J73" s="39"/>
      <c r="K73" s="39"/>
      <c r="L73" s="39"/>
      <c r="M73" s="39"/>
      <c r="N73" s="39"/>
      <c r="O73" s="39"/>
      <c r="P73" s="39"/>
      <c r="Q73" s="39"/>
      <c r="R73" s="39"/>
      <c r="S73" s="39"/>
      <c r="T73" s="39"/>
      <c r="U73" s="39"/>
      <c r="V73" s="39"/>
      <c r="W73" s="39"/>
      <c r="X73" s="39"/>
      <c r="Y73" s="39"/>
      <c r="Z73" s="39"/>
    </row>
    <row r="74" spans="1:26" ht="15.75">
      <c r="A74" s="62" t="s">
        <v>153</v>
      </c>
      <c r="B74" s="54">
        <v>0</v>
      </c>
      <c r="C74" s="45"/>
      <c r="D74" s="45"/>
      <c r="E74" s="45"/>
      <c r="F74" s="39"/>
      <c r="G74" s="39"/>
      <c r="H74" s="39"/>
      <c r="I74" s="39"/>
      <c r="J74" s="39"/>
      <c r="K74" s="39"/>
      <c r="L74" s="39"/>
      <c r="M74" s="39"/>
      <c r="N74" s="39"/>
      <c r="O74" s="39"/>
      <c r="P74" s="39"/>
      <c r="Q74" s="39"/>
      <c r="R74" s="39"/>
      <c r="S74" s="39"/>
      <c r="T74" s="39"/>
      <c r="U74" s="39"/>
      <c r="V74" s="39"/>
      <c r="W74" s="39"/>
      <c r="X74" s="39"/>
      <c r="Y74" s="39"/>
      <c r="Z74" s="39"/>
    </row>
    <row r="75" spans="1:26" ht="15.75">
      <c r="A75" s="51" t="s">
        <v>154</v>
      </c>
      <c r="B75" s="54"/>
      <c r="C75" s="45"/>
      <c r="D75" s="45"/>
      <c r="E75" s="45"/>
      <c r="F75" s="39"/>
      <c r="G75" s="39"/>
      <c r="H75" s="39"/>
      <c r="I75" s="39"/>
      <c r="J75" s="39"/>
      <c r="K75" s="39"/>
      <c r="L75" s="39"/>
      <c r="M75" s="39"/>
      <c r="N75" s="39"/>
      <c r="O75" s="39"/>
      <c r="P75" s="39"/>
      <c r="Q75" s="39"/>
      <c r="R75" s="39"/>
      <c r="S75" s="39"/>
      <c r="T75" s="39"/>
      <c r="U75" s="39"/>
      <c r="V75" s="39"/>
      <c r="W75" s="39"/>
      <c r="X75" s="39"/>
      <c r="Y75" s="39"/>
      <c r="Z75" s="39"/>
    </row>
    <row r="76" spans="1:26" ht="15.75">
      <c r="A76" s="63" t="s">
        <v>68</v>
      </c>
      <c r="B76" s="48">
        <f>SUM(B78,B83,B87,B90,B94,B98,B102,B107,B110,B114)</f>
        <v>40</v>
      </c>
      <c r="C76" s="49"/>
      <c r="D76" s="49"/>
      <c r="E76" s="49"/>
      <c r="F76" s="39"/>
      <c r="G76" s="39"/>
      <c r="H76" s="39"/>
      <c r="I76" s="39"/>
      <c r="J76" s="39"/>
      <c r="K76" s="39"/>
      <c r="L76" s="39"/>
      <c r="M76" s="39"/>
      <c r="N76" s="39"/>
      <c r="O76" s="39"/>
      <c r="P76" s="39"/>
      <c r="Q76" s="39"/>
      <c r="R76" s="39"/>
      <c r="S76" s="39"/>
      <c r="T76" s="39"/>
      <c r="U76" s="39"/>
      <c r="V76" s="39"/>
      <c r="W76" s="39"/>
      <c r="X76" s="39"/>
      <c r="Y76" s="39"/>
      <c r="Z76" s="39"/>
    </row>
    <row r="77" spans="1:26" ht="15.75">
      <c r="A77" s="50" t="s">
        <v>155</v>
      </c>
      <c r="B77" s="45"/>
      <c r="C77" s="45"/>
      <c r="D77" s="45"/>
      <c r="E77" s="45"/>
      <c r="F77" s="39"/>
      <c r="G77" s="39"/>
      <c r="H77" s="39"/>
      <c r="I77" s="39"/>
      <c r="J77" s="39"/>
      <c r="K77" s="39"/>
      <c r="L77" s="39"/>
      <c r="M77" s="39"/>
      <c r="N77" s="39"/>
      <c r="O77" s="39"/>
      <c r="P77" s="39"/>
      <c r="Q77" s="39"/>
      <c r="R77" s="39"/>
      <c r="S77" s="39"/>
      <c r="T77" s="39"/>
      <c r="U77" s="39"/>
      <c r="V77" s="39"/>
      <c r="W77" s="39"/>
      <c r="X77" s="39"/>
      <c r="Y77" s="39"/>
      <c r="Z77" s="39"/>
    </row>
    <row r="78" spans="1:26" ht="15.75">
      <c r="A78" s="51" t="s">
        <v>74</v>
      </c>
      <c r="B78" s="46">
        <v>3</v>
      </c>
      <c r="C78" s="45"/>
      <c r="D78" s="45"/>
      <c r="E78" s="45"/>
      <c r="F78" s="39"/>
      <c r="G78" s="39"/>
      <c r="H78" s="39"/>
      <c r="I78" s="39"/>
      <c r="J78" s="39"/>
      <c r="K78" s="39"/>
      <c r="L78" s="39"/>
      <c r="M78" s="39"/>
      <c r="N78" s="39"/>
      <c r="O78" s="39"/>
      <c r="P78" s="39"/>
      <c r="Q78" s="39"/>
      <c r="R78" s="39"/>
      <c r="S78" s="39"/>
      <c r="T78" s="39"/>
      <c r="U78" s="39"/>
      <c r="V78" s="39"/>
      <c r="W78" s="39"/>
      <c r="X78" s="39"/>
      <c r="Y78" s="39"/>
      <c r="Z78" s="39"/>
    </row>
    <row r="79" spans="1:26" ht="15.75">
      <c r="A79" s="51" t="s">
        <v>156</v>
      </c>
      <c r="B79" s="54">
        <v>2</v>
      </c>
      <c r="C79" s="45"/>
      <c r="D79" s="45"/>
      <c r="E79" s="45"/>
      <c r="F79" s="39"/>
      <c r="G79" s="39"/>
      <c r="H79" s="39"/>
      <c r="I79" s="39"/>
      <c r="J79" s="39"/>
      <c r="K79" s="39"/>
      <c r="L79" s="39"/>
      <c r="M79" s="39"/>
      <c r="N79" s="39"/>
      <c r="O79" s="39"/>
      <c r="P79" s="39"/>
      <c r="Q79" s="39"/>
      <c r="R79" s="39"/>
      <c r="S79" s="39"/>
      <c r="T79" s="39"/>
      <c r="U79" s="39"/>
      <c r="V79" s="39"/>
      <c r="W79" s="39"/>
      <c r="X79" s="39"/>
      <c r="Y79" s="39"/>
      <c r="Z79" s="39"/>
    </row>
    <row r="80" spans="1:26" ht="15.75">
      <c r="A80" s="51" t="s">
        <v>157</v>
      </c>
      <c r="B80" s="54">
        <v>0</v>
      </c>
      <c r="C80" s="45"/>
      <c r="D80" s="45"/>
      <c r="E80" s="45"/>
      <c r="F80" s="39"/>
      <c r="G80" s="39"/>
      <c r="H80" s="39"/>
      <c r="I80" s="39"/>
      <c r="J80" s="39"/>
      <c r="K80" s="39"/>
      <c r="L80" s="39"/>
      <c r="M80" s="39"/>
      <c r="N80" s="39"/>
      <c r="O80" s="39"/>
      <c r="P80" s="39"/>
      <c r="Q80" s="39"/>
      <c r="R80" s="39"/>
      <c r="S80" s="39"/>
      <c r="T80" s="39"/>
      <c r="U80" s="39"/>
      <c r="V80" s="39"/>
      <c r="W80" s="39"/>
      <c r="X80" s="39"/>
      <c r="Y80" s="39"/>
      <c r="Z80" s="39"/>
    </row>
    <row r="81" spans="1:26" ht="15.75">
      <c r="A81" s="51" t="s">
        <v>158</v>
      </c>
      <c r="B81" s="54">
        <v>-5</v>
      </c>
      <c r="C81" s="45"/>
      <c r="D81" s="45"/>
      <c r="E81" s="45"/>
      <c r="F81" s="39"/>
      <c r="G81" s="39"/>
      <c r="H81" s="39"/>
      <c r="I81" s="39"/>
      <c r="J81" s="39"/>
      <c r="K81" s="39"/>
      <c r="L81" s="39"/>
      <c r="M81" s="39"/>
      <c r="N81" s="39"/>
      <c r="O81" s="39"/>
      <c r="P81" s="39"/>
      <c r="Q81" s="39"/>
      <c r="R81" s="39"/>
      <c r="S81" s="39"/>
      <c r="T81" s="39"/>
      <c r="U81" s="39"/>
      <c r="V81" s="39"/>
      <c r="W81" s="39"/>
      <c r="X81" s="39"/>
      <c r="Y81" s="39"/>
      <c r="Z81" s="39"/>
    </row>
    <row r="82" spans="1:26" ht="15.75">
      <c r="A82" s="50" t="s">
        <v>159</v>
      </c>
      <c r="B82" s="45"/>
      <c r="C82" s="45"/>
      <c r="D82" s="45"/>
      <c r="E82" s="45"/>
      <c r="F82" s="39"/>
      <c r="G82" s="39"/>
      <c r="H82" s="39"/>
      <c r="I82" s="39"/>
      <c r="J82" s="39"/>
      <c r="K82" s="39"/>
      <c r="L82" s="39"/>
      <c r="M82" s="39"/>
      <c r="N82" s="39"/>
      <c r="O82" s="39"/>
      <c r="P82" s="39"/>
      <c r="Q82" s="39"/>
      <c r="R82" s="39"/>
      <c r="S82" s="39"/>
      <c r="T82" s="39"/>
      <c r="U82" s="39"/>
      <c r="V82" s="39"/>
      <c r="W82" s="39"/>
      <c r="X82" s="39"/>
      <c r="Y82" s="39"/>
      <c r="Z82" s="39"/>
    </row>
    <row r="83" spans="1:26" ht="15.75">
      <c r="A83" s="51" t="s">
        <v>78</v>
      </c>
      <c r="B83" s="46">
        <v>5</v>
      </c>
      <c r="C83" s="45"/>
      <c r="D83" s="45"/>
      <c r="E83" s="45"/>
      <c r="F83" s="39"/>
      <c r="G83" s="39"/>
      <c r="H83" s="39"/>
      <c r="I83" s="39"/>
      <c r="J83" s="39"/>
      <c r="K83" s="39"/>
      <c r="L83" s="39"/>
      <c r="M83" s="39"/>
      <c r="N83" s="39"/>
      <c r="O83" s="39"/>
      <c r="P83" s="39"/>
      <c r="Q83" s="39"/>
      <c r="R83" s="39"/>
      <c r="S83" s="39"/>
      <c r="T83" s="39"/>
      <c r="U83" s="39"/>
      <c r="V83" s="39"/>
      <c r="W83" s="39"/>
      <c r="X83" s="39"/>
      <c r="Y83" s="39"/>
      <c r="Z83" s="39"/>
    </row>
    <row r="84" spans="1:26" ht="15.75">
      <c r="A84" s="51" t="s">
        <v>79</v>
      </c>
      <c r="B84" s="54">
        <v>3</v>
      </c>
      <c r="C84" s="45"/>
      <c r="D84" s="45"/>
      <c r="E84" s="45"/>
      <c r="F84" s="39"/>
      <c r="G84" s="39"/>
      <c r="H84" s="39"/>
      <c r="I84" s="39"/>
      <c r="J84" s="39"/>
      <c r="K84" s="39"/>
      <c r="L84" s="39"/>
      <c r="M84" s="39"/>
      <c r="N84" s="39"/>
      <c r="O84" s="39"/>
      <c r="P84" s="39"/>
      <c r="Q84" s="39"/>
      <c r="R84" s="39"/>
      <c r="S84" s="39"/>
      <c r="T84" s="39"/>
      <c r="U84" s="39"/>
      <c r="V84" s="39"/>
      <c r="W84" s="39"/>
      <c r="X84" s="39"/>
      <c r="Y84" s="39"/>
      <c r="Z84" s="39"/>
    </row>
    <row r="85" spans="1:26" ht="15.75">
      <c r="A85" s="51" t="s">
        <v>160</v>
      </c>
      <c r="B85" s="54">
        <v>0</v>
      </c>
      <c r="C85" s="45"/>
      <c r="D85" s="45"/>
      <c r="E85" s="45"/>
      <c r="F85" s="39"/>
      <c r="G85" s="39"/>
      <c r="H85" s="39"/>
      <c r="I85" s="39"/>
      <c r="J85" s="39"/>
      <c r="K85" s="39"/>
      <c r="L85" s="39"/>
      <c r="M85" s="39"/>
      <c r="N85" s="39"/>
      <c r="O85" s="39"/>
      <c r="P85" s="39"/>
      <c r="Q85" s="39"/>
      <c r="R85" s="39"/>
      <c r="S85" s="39"/>
      <c r="T85" s="39"/>
      <c r="U85" s="39"/>
      <c r="V85" s="39"/>
      <c r="W85" s="39"/>
      <c r="X85" s="39"/>
      <c r="Y85" s="39"/>
      <c r="Z85" s="39"/>
    </row>
    <row r="86" spans="1:26" ht="15.75">
      <c r="A86" s="55" t="s">
        <v>81</v>
      </c>
      <c r="B86" s="45"/>
      <c r="C86" s="45"/>
      <c r="D86" s="45"/>
      <c r="E86" s="45"/>
      <c r="F86" s="39"/>
      <c r="G86" s="39"/>
      <c r="H86" s="39"/>
      <c r="I86" s="39"/>
      <c r="J86" s="39"/>
      <c r="K86" s="39"/>
      <c r="L86" s="39"/>
      <c r="M86" s="39"/>
      <c r="N86" s="39"/>
      <c r="O86" s="39"/>
      <c r="P86" s="39"/>
      <c r="Q86" s="39"/>
      <c r="R86" s="39"/>
      <c r="S86" s="39"/>
      <c r="T86" s="39"/>
      <c r="U86" s="39"/>
      <c r="V86" s="39"/>
      <c r="W86" s="39"/>
      <c r="X86" s="39"/>
      <c r="Y86" s="39"/>
      <c r="Z86" s="39"/>
    </row>
    <row r="87" spans="1:26" ht="31.5">
      <c r="A87" s="51" t="s">
        <v>161</v>
      </c>
      <c r="B87" s="46">
        <v>3</v>
      </c>
      <c r="C87" s="45"/>
      <c r="D87" s="45"/>
      <c r="E87" s="45"/>
      <c r="F87" s="39"/>
      <c r="G87" s="39"/>
      <c r="H87" s="39"/>
      <c r="I87" s="39"/>
      <c r="J87" s="39"/>
      <c r="K87" s="39"/>
      <c r="L87" s="39"/>
      <c r="M87" s="39"/>
      <c r="N87" s="39"/>
      <c r="O87" s="39"/>
      <c r="P87" s="39"/>
      <c r="Q87" s="39"/>
      <c r="R87" s="39"/>
      <c r="S87" s="39"/>
      <c r="T87" s="39"/>
      <c r="U87" s="39"/>
      <c r="V87" s="39"/>
      <c r="W87" s="39"/>
      <c r="X87" s="39"/>
      <c r="Y87" s="39"/>
      <c r="Z87" s="39"/>
    </row>
    <row r="88" spans="1:26" ht="15.75">
      <c r="A88" s="51" t="s">
        <v>162</v>
      </c>
      <c r="B88" s="54">
        <v>0</v>
      </c>
      <c r="C88" s="45"/>
      <c r="D88" s="45"/>
      <c r="E88" s="45"/>
      <c r="F88" s="39"/>
      <c r="G88" s="39"/>
      <c r="H88" s="39"/>
      <c r="I88" s="39"/>
      <c r="J88" s="39"/>
      <c r="K88" s="39"/>
      <c r="L88" s="39"/>
      <c r="M88" s="39"/>
      <c r="N88" s="39"/>
      <c r="O88" s="39"/>
      <c r="P88" s="39"/>
      <c r="Q88" s="39"/>
      <c r="R88" s="39"/>
      <c r="S88" s="39"/>
      <c r="T88" s="39"/>
      <c r="U88" s="39"/>
      <c r="V88" s="39"/>
      <c r="W88" s="39"/>
      <c r="X88" s="39"/>
      <c r="Y88" s="39"/>
      <c r="Z88" s="39"/>
    </row>
    <row r="89" spans="1:26" ht="15.75">
      <c r="A89" s="50" t="s">
        <v>163</v>
      </c>
      <c r="B89" s="45"/>
      <c r="C89" s="45"/>
      <c r="D89" s="45"/>
      <c r="E89" s="45"/>
      <c r="F89" s="39"/>
      <c r="G89" s="39"/>
      <c r="H89" s="39"/>
      <c r="I89" s="39"/>
      <c r="J89" s="39"/>
      <c r="K89" s="39"/>
      <c r="L89" s="39"/>
      <c r="M89" s="39"/>
      <c r="N89" s="39"/>
      <c r="O89" s="39"/>
      <c r="P89" s="39"/>
      <c r="Q89" s="39"/>
      <c r="R89" s="39"/>
      <c r="S89" s="39"/>
      <c r="T89" s="39"/>
      <c r="U89" s="39"/>
      <c r="V89" s="39"/>
      <c r="W89" s="39"/>
      <c r="X89" s="39"/>
      <c r="Y89" s="39"/>
      <c r="Z89" s="39"/>
    </row>
    <row r="90" spans="1:26" ht="15.75">
      <c r="A90" s="51" t="s">
        <v>70</v>
      </c>
      <c r="B90" s="46">
        <v>3</v>
      </c>
      <c r="C90" s="45"/>
      <c r="D90" s="45"/>
      <c r="E90" s="45"/>
      <c r="F90" s="39"/>
      <c r="G90" s="39"/>
      <c r="H90" s="39"/>
      <c r="I90" s="39"/>
      <c r="J90" s="39"/>
      <c r="K90" s="39"/>
      <c r="L90" s="39"/>
      <c r="M90" s="39"/>
      <c r="N90" s="39"/>
      <c r="O90" s="39"/>
      <c r="P90" s="39"/>
      <c r="Q90" s="39"/>
      <c r="R90" s="39"/>
      <c r="S90" s="39"/>
      <c r="T90" s="39"/>
      <c r="U90" s="39"/>
      <c r="V90" s="39"/>
      <c r="W90" s="39"/>
      <c r="X90" s="39"/>
      <c r="Y90" s="39"/>
      <c r="Z90" s="39"/>
    </row>
    <row r="91" spans="1:26" ht="15.75">
      <c r="A91" s="51" t="s">
        <v>71</v>
      </c>
      <c r="B91" s="54">
        <v>1</v>
      </c>
      <c r="C91" s="45"/>
      <c r="D91" s="45"/>
      <c r="E91" s="45"/>
      <c r="F91" s="39"/>
      <c r="G91" s="39"/>
      <c r="H91" s="39"/>
      <c r="I91" s="39"/>
      <c r="J91" s="39"/>
      <c r="K91" s="39"/>
      <c r="L91" s="39"/>
      <c r="M91" s="39"/>
      <c r="N91" s="39"/>
      <c r="O91" s="39"/>
      <c r="P91" s="39"/>
      <c r="Q91" s="39"/>
      <c r="R91" s="39"/>
      <c r="S91" s="39"/>
      <c r="T91" s="39"/>
      <c r="U91" s="39"/>
      <c r="V91" s="39"/>
      <c r="W91" s="39"/>
      <c r="X91" s="39"/>
      <c r="Y91" s="39"/>
      <c r="Z91" s="39"/>
    </row>
    <row r="92" spans="1:26" ht="15.75">
      <c r="A92" s="51" t="s">
        <v>72</v>
      </c>
      <c r="B92" s="54">
        <v>0</v>
      </c>
      <c r="C92" s="45"/>
      <c r="D92" s="45"/>
      <c r="E92" s="45"/>
      <c r="F92" s="39"/>
      <c r="G92" s="39"/>
      <c r="H92" s="39"/>
      <c r="I92" s="39"/>
      <c r="J92" s="39"/>
      <c r="K92" s="39"/>
      <c r="L92" s="39"/>
      <c r="M92" s="39"/>
      <c r="N92" s="39"/>
      <c r="O92" s="39"/>
      <c r="P92" s="39"/>
      <c r="Q92" s="39"/>
      <c r="R92" s="39"/>
      <c r="S92" s="39"/>
      <c r="T92" s="39"/>
      <c r="U92" s="39"/>
      <c r="V92" s="39"/>
      <c r="W92" s="39"/>
      <c r="X92" s="39"/>
      <c r="Y92" s="39"/>
      <c r="Z92" s="39"/>
    </row>
    <row r="93" spans="1:26" ht="36" customHeight="1">
      <c r="A93" s="55" t="s">
        <v>164</v>
      </c>
      <c r="B93" s="54"/>
      <c r="C93" s="46"/>
      <c r="D93" s="46"/>
      <c r="E93" s="46"/>
      <c r="F93" s="40"/>
      <c r="G93" s="40"/>
      <c r="H93" s="40"/>
      <c r="I93" s="40"/>
      <c r="J93" s="40"/>
      <c r="K93" s="40"/>
      <c r="L93" s="40"/>
      <c r="M93" s="40"/>
      <c r="N93" s="40"/>
      <c r="O93" s="40"/>
      <c r="P93" s="40"/>
      <c r="Q93" s="40"/>
      <c r="R93" s="40"/>
      <c r="S93" s="40"/>
      <c r="T93" s="40"/>
      <c r="U93" s="40"/>
      <c r="V93" s="40"/>
      <c r="W93" s="40"/>
      <c r="X93" s="40"/>
      <c r="Y93" s="40"/>
      <c r="Z93" s="40"/>
    </row>
    <row r="94" spans="1:26" ht="15.75" customHeight="1">
      <c r="A94" s="51" t="s">
        <v>165</v>
      </c>
      <c r="B94" s="46">
        <v>3</v>
      </c>
      <c r="C94" s="46"/>
      <c r="D94" s="46"/>
      <c r="E94" s="46"/>
      <c r="F94" s="40"/>
      <c r="G94" s="40"/>
      <c r="H94" s="40"/>
      <c r="I94" s="40"/>
      <c r="J94" s="40"/>
      <c r="K94" s="40"/>
      <c r="L94" s="40"/>
      <c r="M94" s="40"/>
      <c r="N94" s="40"/>
      <c r="O94" s="40"/>
      <c r="P94" s="40"/>
      <c r="Q94" s="40"/>
      <c r="R94" s="40"/>
      <c r="S94" s="40"/>
      <c r="T94" s="40"/>
      <c r="U94" s="40"/>
      <c r="V94" s="40"/>
      <c r="W94" s="40"/>
      <c r="X94" s="40"/>
      <c r="Y94" s="40"/>
      <c r="Z94" s="40"/>
    </row>
    <row r="95" spans="1:26" ht="15.75" customHeight="1">
      <c r="A95" s="51" t="s">
        <v>166</v>
      </c>
      <c r="B95" s="54">
        <v>1</v>
      </c>
      <c r="C95" s="46"/>
      <c r="D95" s="46"/>
      <c r="E95" s="46"/>
      <c r="F95" s="40"/>
      <c r="G95" s="40"/>
      <c r="H95" s="40"/>
      <c r="I95" s="40"/>
      <c r="J95" s="40"/>
      <c r="K95" s="40"/>
      <c r="L95" s="40"/>
      <c r="M95" s="40"/>
      <c r="N95" s="40"/>
      <c r="O95" s="40"/>
      <c r="P95" s="40"/>
      <c r="Q95" s="40"/>
      <c r="R95" s="40"/>
      <c r="S95" s="40"/>
      <c r="T95" s="40"/>
      <c r="U95" s="40"/>
      <c r="V95" s="40"/>
      <c r="W95" s="40"/>
      <c r="X95" s="40"/>
      <c r="Y95" s="40"/>
      <c r="Z95" s="40"/>
    </row>
    <row r="96" spans="1:26" ht="15.75" customHeight="1">
      <c r="A96" s="51" t="s">
        <v>167</v>
      </c>
      <c r="B96" s="54">
        <v>0</v>
      </c>
      <c r="C96" s="46"/>
      <c r="D96" s="46"/>
      <c r="E96" s="46"/>
      <c r="F96" s="40"/>
      <c r="G96" s="40"/>
      <c r="H96" s="40"/>
      <c r="I96" s="40"/>
      <c r="J96" s="40"/>
      <c r="K96" s="40"/>
      <c r="L96" s="40"/>
      <c r="M96" s="40"/>
      <c r="N96" s="40"/>
      <c r="O96" s="40"/>
      <c r="P96" s="40"/>
      <c r="Q96" s="40"/>
      <c r="R96" s="40"/>
      <c r="S96" s="40"/>
      <c r="T96" s="40"/>
      <c r="U96" s="40"/>
      <c r="V96" s="40"/>
      <c r="W96" s="40"/>
      <c r="X96" s="40"/>
      <c r="Y96" s="40"/>
      <c r="Z96" s="40"/>
    </row>
    <row r="97" spans="1:26" ht="15.75" customHeight="1">
      <c r="A97" s="55" t="s">
        <v>168</v>
      </c>
      <c r="B97" s="54"/>
      <c r="C97" s="46"/>
      <c r="D97" s="46"/>
      <c r="E97" s="46"/>
      <c r="F97" s="40"/>
      <c r="G97" s="40"/>
      <c r="H97" s="40"/>
      <c r="I97" s="40"/>
      <c r="J97" s="40"/>
      <c r="K97" s="40"/>
      <c r="L97" s="40"/>
      <c r="M97" s="40"/>
      <c r="N97" s="40"/>
      <c r="O97" s="40"/>
      <c r="P97" s="40"/>
      <c r="Q97" s="40"/>
      <c r="R97" s="40"/>
      <c r="S97" s="40"/>
      <c r="T97" s="40"/>
      <c r="U97" s="40"/>
      <c r="V97" s="40"/>
      <c r="W97" s="40"/>
      <c r="X97" s="40"/>
      <c r="Y97" s="40"/>
      <c r="Z97" s="40"/>
    </row>
    <row r="98" spans="1:26" ht="15.75" customHeight="1">
      <c r="A98" s="51" t="s">
        <v>169</v>
      </c>
      <c r="B98" s="46">
        <v>3</v>
      </c>
      <c r="C98" s="46"/>
      <c r="D98" s="46"/>
      <c r="E98" s="46"/>
      <c r="F98" s="40"/>
      <c r="G98" s="40"/>
      <c r="H98" s="40"/>
      <c r="I98" s="40"/>
      <c r="J98" s="40"/>
      <c r="K98" s="40"/>
      <c r="L98" s="40"/>
      <c r="M98" s="40"/>
      <c r="N98" s="40"/>
      <c r="O98" s="40"/>
      <c r="P98" s="40"/>
      <c r="Q98" s="40"/>
      <c r="R98" s="40"/>
      <c r="S98" s="40"/>
      <c r="T98" s="40"/>
      <c r="U98" s="40"/>
      <c r="V98" s="40"/>
      <c r="W98" s="40"/>
      <c r="X98" s="40"/>
      <c r="Y98" s="40"/>
      <c r="Z98" s="40"/>
    </row>
    <row r="99" spans="1:26" ht="15.75" customHeight="1">
      <c r="A99" s="51" t="s">
        <v>170</v>
      </c>
      <c r="B99" s="54">
        <v>1</v>
      </c>
      <c r="C99" s="46"/>
      <c r="D99" s="46"/>
      <c r="E99" s="46"/>
      <c r="F99" s="40"/>
      <c r="G99" s="40"/>
      <c r="H99" s="40"/>
      <c r="I99" s="40"/>
      <c r="J99" s="40"/>
      <c r="K99" s="40"/>
      <c r="L99" s="40"/>
      <c r="M99" s="40"/>
      <c r="N99" s="40"/>
      <c r="O99" s="40"/>
      <c r="P99" s="40"/>
      <c r="Q99" s="40"/>
      <c r="R99" s="40"/>
      <c r="S99" s="40"/>
      <c r="T99" s="40"/>
      <c r="U99" s="40"/>
      <c r="V99" s="40"/>
      <c r="W99" s="40"/>
      <c r="X99" s="40"/>
      <c r="Y99" s="40"/>
      <c r="Z99" s="40"/>
    </row>
    <row r="100" spans="1:26" ht="15.75" customHeight="1">
      <c r="A100" s="51" t="s">
        <v>171</v>
      </c>
      <c r="B100" s="54">
        <v>0</v>
      </c>
      <c r="C100" s="46"/>
      <c r="D100" s="46"/>
      <c r="E100" s="46"/>
      <c r="F100" s="40"/>
      <c r="G100" s="40"/>
      <c r="H100" s="40"/>
      <c r="I100" s="40"/>
      <c r="J100" s="40"/>
      <c r="K100" s="40"/>
      <c r="L100" s="40"/>
      <c r="M100" s="40"/>
      <c r="N100" s="40"/>
      <c r="O100" s="40"/>
      <c r="P100" s="40"/>
      <c r="Q100" s="40"/>
      <c r="R100" s="40"/>
      <c r="S100" s="40"/>
      <c r="T100" s="40"/>
      <c r="U100" s="40"/>
      <c r="V100" s="40"/>
      <c r="W100" s="40"/>
      <c r="X100" s="40"/>
      <c r="Y100" s="40"/>
      <c r="Z100" s="40"/>
    </row>
    <row r="101" spans="1:26" ht="34.5" customHeight="1">
      <c r="A101" s="55" t="s">
        <v>172</v>
      </c>
      <c r="B101" s="54"/>
      <c r="C101" s="46"/>
      <c r="D101" s="46"/>
      <c r="E101" s="46"/>
      <c r="F101" s="40"/>
      <c r="G101" s="40"/>
      <c r="H101" s="40"/>
      <c r="I101" s="40"/>
      <c r="J101" s="40"/>
      <c r="K101" s="40"/>
      <c r="L101" s="40"/>
      <c r="M101" s="40"/>
      <c r="N101" s="40"/>
      <c r="O101" s="40"/>
      <c r="P101" s="40"/>
      <c r="Q101" s="40"/>
      <c r="R101" s="40"/>
      <c r="S101" s="40"/>
      <c r="T101" s="40"/>
      <c r="U101" s="40"/>
      <c r="V101" s="40"/>
      <c r="W101" s="40"/>
      <c r="X101" s="40"/>
      <c r="Y101" s="40"/>
      <c r="Z101" s="40"/>
    </row>
    <row r="102" spans="1:26" ht="40.5" customHeight="1">
      <c r="A102" s="55" t="s">
        <v>173</v>
      </c>
      <c r="B102" s="46">
        <v>5</v>
      </c>
      <c r="C102" s="46"/>
      <c r="D102" s="46"/>
      <c r="E102" s="46"/>
      <c r="F102" s="40"/>
      <c r="G102" s="40"/>
      <c r="H102" s="40"/>
      <c r="I102" s="40"/>
      <c r="J102" s="40"/>
      <c r="K102" s="40"/>
      <c r="L102" s="40"/>
      <c r="M102" s="40"/>
      <c r="N102" s="40"/>
      <c r="O102" s="40"/>
      <c r="P102" s="40"/>
      <c r="Q102" s="40"/>
      <c r="R102" s="40"/>
      <c r="S102" s="40"/>
      <c r="T102" s="40"/>
      <c r="U102" s="40"/>
      <c r="V102" s="40"/>
      <c r="W102" s="40"/>
      <c r="X102" s="40"/>
      <c r="Y102" s="40"/>
      <c r="Z102" s="40"/>
    </row>
    <row r="103" spans="1:26" ht="38.25" customHeight="1">
      <c r="A103" s="51" t="s">
        <v>174</v>
      </c>
      <c r="B103" s="54">
        <v>3</v>
      </c>
      <c r="C103" s="46"/>
      <c r="D103" s="46"/>
      <c r="E103" s="46"/>
      <c r="F103" s="40"/>
      <c r="G103" s="40"/>
      <c r="H103" s="40"/>
      <c r="I103" s="40"/>
      <c r="J103" s="40"/>
      <c r="K103" s="40"/>
      <c r="L103" s="40"/>
      <c r="M103" s="40"/>
      <c r="N103" s="40"/>
      <c r="O103" s="40"/>
      <c r="P103" s="40"/>
      <c r="Q103" s="40"/>
      <c r="R103" s="40"/>
      <c r="S103" s="40"/>
      <c r="T103" s="40"/>
      <c r="U103" s="40"/>
      <c r="V103" s="40"/>
      <c r="W103" s="40"/>
      <c r="X103" s="40"/>
      <c r="Y103" s="40"/>
      <c r="Z103" s="40"/>
    </row>
    <row r="104" spans="1:26" ht="33.75" customHeight="1">
      <c r="A104" s="51" t="s">
        <v>175</v>
      </c>
      <c r="B104" s="54">
        <v>0</v>
      </c>
      <c r="C104" s="46"/>
      <c r="D104" s="46"/>
      <c r="E104" s="46"/>
      <c r="F104" s="40"/>
      <c r="G104" s="40"/>
      <c r="H104" s="40"/>
      <c r="I104" s="40"/>
      <c r="J104" s="40"/>
      <c r="K104" s="40"/>
      <c r="L104" s="40"/>
      <c r="M104" s="40"/>
      <c r="N104" s="40"/>
      <c r="O104" s="40"/>
      <c r="P104" s="40"/>
      <c r="Q104" s="40"/>
      <c r="R104" s="40"/>
      <c r="S104" s="40"/>
      <c r="T104" s="40"/>
      <c r="U104" s="40"/>
      <c r="V104" s="40"/>
      <c r="W104" s="40"/>
      <c r="X104" s="40"/>
      <c r="Y104" s="40"/>
      <c r="Z104" s="40"/>
    </row>
    <row r="105" spans="1:26" ht="25.5" customHeight="1">
      <c r="A105" s="51" t="s">
        <v>176</v>
      </c>
      <c r="B105" s="54">
        <v>-5</v>
      </c>
      <c r="C105" s="46"/>
      <c r="D105" s="46"/>
      <c r="E105" s="46"/>
      <c r="F105" s="40"/>
      <c r="G105" s="40"/>
      <c r="H105" s="40"/>
      <c r="I105" s="40"/>
      <c r="J105" s="40"/>
      <c r="K105" s="40"/>
      <c r="L105" s="40"/>
      <c r="M105" s="40"/>
      <c r="N105" s="40"/>
      <c r="O105" s="40"/>
      <c r="P105" s="40"/>
      <c r="Q105" s="40"/>
      <c r="R105" s="40"/>
      <c r="S105" s="40"/>
      <c r="T105" s="40"/>
      <c r="U105" s="40"/>
      <c r="V105" s="40"/>
      <c r="W105" s="40"/>
      <c r="X105" s="40"/>
      <c r="Y105" s="40"/>
      <c r="Z105" s="40"/>
    </row>
    <row r="106" spans="1:26" ht="15.75" customHeight="1">
      <c r="A106" s="55" t="s">
        <v>177</v>
      </c>
      <c r="B106" s="54"/>
      <c r="C106" s="46"/>
      <c r="D106" s="46"/>
      <c r="E106" s="46"/>
      <c r="F106" s="40"/>
      <c r="G106" s="40"/>
      <c r="H106" s="40"/>
      <c r="I106" s="40"/>
      <c r="J106" s="40"/>
      <c r="K106" s="40"/>
      <c r="L106" s="40"/>
      <c r="M106" s="40"/>
      <c r="N106" s="40"/>
      <c r="O106" s="40"/>
      <c r="P106" s="40"/>
      <c r="Q106" s="40"/>
      <c r="R106" s="40"/>
      <c r="S106" s="40"/>
      <c r="T106" s="40"/>
      <c r="U106" s="40"/>
      <c r="V106" s="40"/>
      <c r="W106" s="40"/>
      <c r="X106" s="40"/>
      <c r="Y106" s="40"/>
      <c r="Z106" s="40"/>
    </row>
    <row r="107" spans="1:26" ht="21.75" customHeight="1">
      <c r="A107" s="51" t="s">
        <v>178</v>
      </c>
      <c r="B107" s="46">
        <v>2</v>
      </c>
      <c r="C107" s="46"/>
      <c r="D107" s="46"/>
      <c r="E107" s="46"/>
      <c r="F107" s="40"/>
      <c r="G107" s="40"/>
      <c r="H107" s="40"/>
      <c r="I107" s="40"/>
      <c r="J107" s="40"/>
      <c r="K107" s="40"/>
      <c r="L107" s="40"/>
      <c r="M107" s="40"/>
      <c r="N107" s="40"/>
      <c r="O107" s="40"/>
      <c r="P107" s="40"/>
      <c r="Q107" s="40"/>
      <c r="R107" s="40"/>
      <c r="S107" s="40"/>
      <c r="T107" s="40"/>
      <c r="U107" s="40"/>
      <c r="V107" s="40"/>
      <c r="W107" s="40"/>
      <c r="X107" s="40"/>
      <c r="Y107" s="40"/>
      <c r="Z107" s="40"/>
    </row>
    <row r="108" spans="1:26" ht="21.75" customHeight="1">
      <c r="A108" s="51" t="s">
        <v>179</v>
      </c>
      <c r="B108" s="54">
        <v>0</v>
      </c>
      <c r="C108" s="46"/>
      <c r="D108" s="46"/>
      <c r="E108" s="46"/>
      <c r="F108" s="40"/>
      <c r="G108" s="40"/>
      <c r="H108" s="40"/>
      <c r="I108" s="40"/>
      <c r="J108" s="40"/>
      <c r="K108" s="40"/>
      <c r="L108" s="40"/>
      <c r="M108" s="40"/>
      <c r="N108" s="40"/>
      <c r="O108" s="40"/>
      <c r="P108" s="40"/>
      <c r="Q108" s="40"/>
      <c r="R108" s="40"/>
      <c r="S108" s="40"/>
      <c r="T108" s="40"/>
      <c r="U108" s="40"/>
      <c r="V108" s="40"/>
      <c r="W108" s="40"/>
      <c r="X108" s="40"/>
      <c r="Y108" s="40"/>
      <c r="Z108" s="40"/>
    </row>
    <row r="109" spans="1:26" ht="15.75" customHeight="1">
      <c r="A109" s="55" t="s">
        <v>180</v>
      </c>
      <c r="B109" s="45"/>
      <c r="C109" s="46"/>
      <c r="D109" s="46"/>
      <c r="E109" s="46"/>
      <c r="F109" s="40"/>
      <c r="G109" s="40"/>
      <c r="H109" s="40"/>
      <c r="I109" s="40"/>
      <c r="J109" s="40"/>
      <c r="K109" s="40"/>
      <c r="L109" s="40"/>
      <c r="M109" s="40"/>
      <c r="N109" s="40"/>
      <c r="O109" s="40"/>
      <c r="P109" s="40"/>
      <c r="Q109" s="40"/>
      <c r="R109" s="40"/>
      <c r="S109" s="40"/>
      <c r="T109" s="40"/>
      <c r="U109" s="40"/>
      <c r="V109" s="40"/>
      <c r="W109" s="40"/>
      <c r="X109" s="40"/>
      <c r="Y109" s="40"/>
      <c r="Z109" s="40"/>
    </row>
    <row r="110" spans="1:26" ht="15.75" customHeight="1">
      <c r="A110" s="51" t="s">
        <v>181</v>
      </c>
      <c r="B110" s="46">
        <v>6</v>
      </c>
      <c r="C110" s="46"/>
      <c r="D110" s="46"/>
      <c r="E110" s="46"/>
      <c r="F110" s="40"/>
      <c r="G110" s="40"/>
      <c r="H110" s="40"/>
      <c r="I110" s="40"/>
      <c r="J110" s="40"/>
      <c r="K110" s="40"/>
      <c r="L110" s="40"/>
      <c r="M110" s="40"/>
      <c r="N110" s="40"/>
      <c r="O110" s="40"/>
      <c r="P110" s="40"/>
      <c r="Q110" s="40"/>
      <c r="R110" s="40"/>
      <c r="S110" s="40"/>
      <c r="T110" s="40"/>
      <c r="U110" s="40"/>
      <c r="V110" s="40"/>
      <c r="W110" s="40"/>
      <c r="X110" s="40"/>
      <c r="Y110" s="40"/>
      <c r="Z110" s="40"/>
    </row>
    <row r="111" spans="1:26" ht="15.75" customHeight="1">
      <c r="A111" s="51" t="s">
        <v>87</v>
      </c>
      <c r="B111" s="54">
        <v>3</v>
      </c>
      <c r="C111" s="46"/>
      <c r="D111" s="46"/>
      <c r="E111" s="46"/>
      <c r="F111" s="40"/>
      <c r="G111" s="40"/>
      <c r="H111" s="40"/>
      <c r="I111" s="40"/>
      <c r="J111" s="40"/>
      <c r="K111" s="40"/>
      <c r="L111" s="40"/>
      <c r="M111" s="40"/>
      <c r="N111" s="40"/>
      <c r="O111" s="40"/>
      <c r="P111" s="40"/>
      <c r="Q111" s="40"/>
      <c r="R111" s="40"/>
      <c r="S111" s="40"/>
      <c r="T111" s="40"/>
      <c r="U111" s="40"/>
      <c r="V111" s="40"/>
      <c r="W111" s="40"/>
      <c r="X111" s="40"/>
      <c r="Y111" s="40"/>
      <c r="Z111" s="40"/>
    </row>
    <row r="112" spans="1:26" ht="15.75" customHeight="1">
      <c r="A112" s="51" t="s">
        <v>88</v>
      </c>
      <c r="B112" s="54">
        <v>0</v>
      </c>
      <c r="C112" s="46"/>
      <c r="D112" s="46"/>
      <c r="E112" s="46"/>
      <c r="F112" s="40"/>
      <c r="G112" s="40"/>
      <c r="H112" s="40"/>
      <c r="I112" s="40"/>
      <c r="J112" s="40"/>
      <c r="K112" s="40"/>
      <c r="L112" s="40"/>
      <c r="M112" s="40"/>
      <c r="N112" s="40"/>
      <c r="O112" s="40"/>
      <c r="P112" s="40"/>
      <c r="Q112" s="40"/>
      <c r="R112" s="40"/>
      <c r="S112" s="40"/>
      <c r="T112" s="40"/>
      <c r="U112" s="40"/>
      <c r="V112" s="40"/>
      <c r="W112" s="40"/>
      <c r="X112" s="40"/>
      <c r="Y112" s="40"/>
      <c r="Z112" s="40"/>
    </row>
    <row r="113" spans="1:26" ht="15.75" customHeight="1">
      <c r="A113" s="64" t="s">
        <v>182</v>
      </c>
      <c r="B113" s="54"/>
      <c r="C113" s="46"/>
      <c r="D113" s="46"/>
      <c r="E113" s="46"/>
      <c r="F113" s="40"/>
      <c r="G113" s="40"/>
      <c r="H113" s="40"/>
      <c r="I113" s="40"/>
      <c r="J113" s="40"/>
      <c r="K113" s="40"/>
      <c r="L113" s="40"/>
      <c r="M113" s="40"/>
      <c r="N113" s="40"/>
      <c r="O113" s="40"/>
      <c r="P113" s="40"/>
      <c r="Q113" s="40"/>
      <c r="R113" s="40"/>
      <c r="S113" s="40"/>
      <c r="T113" s="40"/>
      <c r="U113" s="40"/>
      <c r="V113" s="40"/>
      <c r="W113" s="40"/>
      <c r="X113" s="40"/>
      <c r="Y113" s="40"/>
      <c r="Z113" s="40"/>
    </row>
    <row r="114" spans="1:26" ht="15.75" customHeight="1">
      <c r="A114" s="65" t="s">
        <v>183</v>
      </c>
      <c r="B114" s="54">
        <v>7</v>
      </c>
      <c r="C114" s="46"/>
      <c r="D114" s="46"/>
      <c r="E114" s="46"/>
      <c r="F114" s="40"/>
      <c r="G114" s="40"/>
      <c r="H114" s="40"/>
      <c r="I114" s="40"/>
      <c r="J114" s="40"/>
      <c r="K114" s="40"/>
      <c r="L114" s="40"/>
      <c r="M114" s="40"/>
      <c r="N114" s="40"/>
      <c r="O114" s="40"/>
      <c r="P114" s="40"/>
      <c r="Q114" s="40"/>
      <c r="R114" s="40"/>
      <c r="S114" s="40"/>
      <c r="T114" s="40"/>
      <c r="U114" s="40"/>
      <c r="V114" s="40"/>
      <c r="W114" s="40"/>
      <c r="X114" s="40"/>
      <c r="Y114" s="40"/>
      <c r="Z114" s="40"/>
    </row>
    <row r="115" spans="1:26" ht="15.75" customHeight="1">
      <c r="A115" s="65" t="s">
        <v>184</v>
      </c>
      <c r="B115" s="54">
        <v>5</v>
      </c>
      <c r="C115" s="46"/>
      <c r="D115" s="46"/>
      <c r="E115" s="46"/>
      <c r="F115" s="40"/>
      <c r="G115" s="40"/>
      <c r="H115" s="40"/>
      <c r="I115" s="40"/>
      <c r="J115" s="40"/>
      <c r="K115" s="40"/>
      <c r="L115" s="40"/>
      <c r="M115" s="40"/>
      <c r="N115" s="40"/>
      <c r="O115" s="40"/>
      <c r="P115" s="40"/>
      <c r="Q115" s="40"/>
      <c r="R115" s="40"/>
      <c r="S115" s="40"/>
      <c r="T115" s="40"/>
      <c r="U115" s="40"/>
      <c r="V115" s="40"/>
      <c r="W115" s="40"/>
      <c r="X115" s="40"/>
      <c r="Y115" s="40"/>
      <c r="Z115" s="40"/>
    </row>
    <row r="116" spans="1:26" ht="15.75" customHeight="1">
      <c r="A116" s="65" t="s">
        <v>185</v>
      </c>
      <c r="B116" s="54">
        <v>0</v>
      </c>
      <c r="C116" s="46"/>
      <c r="D116" s="46"/>
      <c r="E116" s="46"/>
      <c r="F116" s="40"/>
      <c r="G116" s="40"/>
      <c r="H116" s="40"/>
      <c r="I116" s="40"/>
      <c r="J116" s="40"/>
      <c r="K116" s="40"/>
      <c r="L116" s="40"/>
      <c r="M116" s="40"/>
      <c r="N116" s="40"/>
      <c r="O116" s="40"/>
      <c r="P116" s="40"/>
      <c r="Q116" s="40"/>
      <c r="R116" s="40"/>
      <c r="S116" s="40"/>
      <c r="T116" s="40"/>
      <c r="U116" s="40"/>
      <c r="V116" s="40"/>
      <c r="W116" s="40"/>
      <c r="X116" s="40"/>
      <c r="Y116" s="40"/>
      <c r="Z116" s="40"/>
    </row>
    <row r="117" spans="1:26" ht="15.75" customHeight="1">
      <c r="A117" s="17"/>
      <c r="B117" s="66"/>
      <c r="C117" s="67"/>
      <c r="D117" s="67"/>
      <c r="E117" s="67"/>
      <c r="F117" s="40"/>
      <c r="G117" s="40"/>
      <c r="H117" s="40"/>
      <c r="I117" s="40"/>
      <c r="J117" s="40"/>
      <c r="K117" s="40"/>
      <c r="L117" s="40"/>
      <c r="M117" s="40"/>
      <c r="N117" s="40"/>
      <c r="O117" s="40"/>
      <c r="P117" s="40"/>
      <c r="Q117" s="40"/>
      <c r="R117" s="40"/>
      <c r="S117" s="40"/>
      <c r="T117" s="40"/>
      <c r="U117" s="40"/>
      <c r="V117" s="40"/>
      <c r="W117" s="40"/>
      <c r="X117" s="40"/>
      <c r="Y117" s="40"/>
      <c r="Z117" s="40"/>
    </row>
    <row r="118" spans="1:26" ht="15.75" customHeight="1">
      <c r="A118" s="68" t="s">
        <v>89</v>
      </c>
      <c r="B118" s="68">
        <f>SUM(B76,B59,B50,B12)</f>
        <v>100</v>
      </c>
      <c r="C118" s="69"/>
      <c r="D118" s="69"/>
      <c r="E118" s="6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ustomHeight="1">
      <c r="A119" s="70"/>
      <c r="B119" s="71"/>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c r="A120" s="72"/>
      <c r="B120" s="73"/>
      <c r="C120" s="74">
        <f t="shared" ref="C120:E120" si="0">SUM(C25:C119)</f>
        <v>0</v>
      </c>
      <c r="D120" s="74">
        <f t="shared" si="0"/>
        <v>0</v>
      </c>
      <c r="E120" s="74">
        <f t="shared" si="0"/>
        <v>0</v>
      </c>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c r="A121" s="262" t="s">
        <v>186</v>
      </c>
      <c r="B121" s="263"/>
      <c r="C121" s="263"/>
      <c r="D121" s="263"/>
      <c r="E121" s="264"/>
      <c r="F121" s="75"/>
      <c r="G121" s="75"/>
      <c r="H121" s="39"/>
      <c r="I121" s="39"/>
      <c r="J121" s="39"/>
      <c r="K121" s="39"/>
      <c r="L121" s="39"/>
      <c r="M121" s="39"/>
      <c r="N121" s="39"/>
      <c r="O121" s="39"/>
      <c r="P121" s="39"/>
      <c r="Q121" s="39"/>
      <c r="R121" s="39"/>
      <c r="S121" s="39"/>
      <c r="T121" s="39"/>
      <c r="U121" s="39"/>
      <c r="V121" s="39"/>
      <c r="W121" s="39"/>
      <c r="X121" s="39"/>
      <c r="Y121" s="39"/>
      <c r="Z121" s="39"/>
    </row>
    <row r="122" spans="1:26" ht="15.75">
      <c r="A122" s="40"/>
      <c r="B122" s="39"/>
      <c r="C122" s="39"/>
      <c r="D122" s="39"/>
      <c r="E122" s="40"/>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 r="A123" s="76" t="s">
        <v>187</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 r="A124" s="76"/>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 r="A125" s="77" t="s">
        <v>188</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spans="1:26" ht="15.7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spans="1:26" ht="15.75">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spans="1:26" ht="15.75">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spans="1:26" ht="15.75">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spans="1:26" ht="15.75">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spans="1:26" ht="15.75">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spans="1:26" ht="15.75">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spans="1:26" ht="15.75">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spans="1:26" ht="15.75">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spans="1:26" ht="15.75">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spans="1:26" ht="15.7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spans="1:26" ht="15.75">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sheetData>
  <mergeCells count="6">
    <mergeCell ref="A121:E121"/>
    <mergeCell ref="A2:E2"/>
    <mergeCell ref="A3:E3"/>
    <mergeCell ref="A4:E4"/>
    <mergeCell ref="A10:A11"/>
    <mergeCell ref="C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3"/>
  <sheetViews>
    <sheetView tabSelected="1" topLeftCell="A55" workbookViewId="0">
      <selection activeCell="H61" sqref="B61:H61"/>
    </sheetView>
  </sheetViews>
  <sheetFormatPr defaultColWidth="11.25" defaultRowHeight="15" customHeight="1"/>
  <cols>
    <col min="2" max="2" width="41.625" customWidth="1"/>
    <col min="8" max="8" width="28" customWidth="1"/>
  </cols>
  <sheetData>
    <row r="1" spans="1:26" ht="15.75">
      <c r="A1" s="267" t="s">
        <v>189</v>
      </c>
      <c r="B1" s="247"/>
      <c r="C1" s="247"/>
      <c r="D1" s="247"/>
      <c r="E1" s="247"/>
      <c r="F1" s="78"/>
      <c r="G1" s="78"/>
      <c r="H1" s="78"/>
      <c r="I1" s="79"/>
      <c r="J1" s="79"/>
      <c r="K1" s="79"/>
      <c r="L1" s="79"/>
      <c r="M1" s="79"/>
      <c r="N1" s="79"/>
      <c r="O1" s="79"/>
      <c r="P1" s="79"/>
      <c r="Q1" s="79"/>
      <c r="R1" s="79"/>
      <c r="S1" s="79"/>
      <c r="T1" s="79"/>
      <c r="U1" s="79"/>
      <c r="V1" s="79"/>
      <c r="W1" s="79"/>
      <c r="X1" s="79"/>
      <c r="Y1" s="79"/>
      <c r="Z1" s="79"/>
    </row>
    <row r="2" spans="1:26" ht="15.75">
      <c r="A2" s="267" t="s">
        <v>190</v>
      </c>
      <c r="B2" s="247"/>
      <c r="C2" s="247"/>
      <c r="D2" s="247"/>
      <c r="E2" s="247"/>
      <c r="F2" s="78"/>
      <c r="G2" s="78"/>
      <c r="H2" s="78"/>
      <c r="I2" s="79"/>
      <c r="J2" s="79"/>
      <c r="K2" s="79"/>
      <c r="L2" s="79"/>
      <c r="M2" s="79"/>
      <c r="N2" s="79"/>
      <c r="O2" s="79"/>
      <c r="P2" s="79"/>
      <c r="Q2" s="79"/>
      <c r="R2" s="79"/>
      <c r="S2" s="79"/>
      <c r="T2" s="79"/>
      <c r="U2" s="79"/>
      <c r="V2" s="79"/>
      <c r="W2" s="79"/>
      <c r="X2" s="79"/>
      <c r="Y2" s="79"/>
      <c r="Z2" s="79"/>
    </row>
    <row r="3" spans="1:26" ht="15.75">
      <c r="A3" s="267" t="s">
        <v>191</v>
      </c>
      <c r="B3" s="247"/>
      <c r="C3" s="247"/>
      <c r="D3" s="247"/>
      <c r="E3" s="247"/>
      <c r="F3" s="78"/>
      <c r="G3" s="78"/>
      <c r="H3" s="78"/>
      <c r="I3" s="79"/>
      <c r="J3" s="79"/>
      <c r="K3" s="79"/>
      <c r="L3" s="79"/>
      <c r="M3" s="79"/>
      <c r="N3" s="79"/>
      <c r="O3" s="79"/>
      <c r="P3" s="79"/>
      <c r="Q3" s="79"/>
      <c r="R3" s="79"/>
      <c r="S3" s="79"/>
      <c r="T3" s="79"/>
      <c r="U3" s="79"/>
      <c r="V3" s="79"/>
      <c r="W3" s="79"/>
      <c r="X3" s="79"/>
      <c r="Y3" s="79"/>
      <c r="Z3" s="79"/>
    </row>
    <row r="4" spans="1:26" ht="15.75">
      <c r="A4" s="268" t="s">
        <v>192</v>
      </c>
      <c r="B4" s="268" t="s">
        <v>193</v>
      </c>
      <c r="C4" s="268" t="s">
        <v>9</v>
      </c>
      <c r="D4" s="269" t="s">
        <v>194</v>
      </c>
      <c r="E4" s="261"/>
      <c r="F4" s="265" t="s">
        <v>195</v>
      </c>
      <c r="G4" s="261"/>
      <c r="H4" s="266" t="s">
        <v>196</v>
      </c>
      <c r="I4" s="79"/>
      <c r="J4" s="79"/>
      <c r="K4" s="79"/>
      <c r="L4" s="79"/>
      <c r="M4" s="79"/>
      <c r="N4" s="79"/>
      <c r="O4" s="79"/>
      <c r="P4" s="79"/>
      <c r="Q4" s="79"/>
      <c r="R4" s="79"/>
      <c r="S4" s="79"/>
      <c r="T4" s="79"/>
      <c r="U4" s="79"/>
      <c r="V4" s="79"/>
      <c r="W4" s="79"/>
      <c r="X4" s="79"/>
      <c r="Y4" s="79"/>
      <c r="Z4" s="79"/>
    </row>
    <row r="5" spans="1:26" ht="49.5">
      <c r="A5" s="258"/>
      <c r="B5" s="258"/>
      <c r="C5" s="258"/>
      <c r="D5" s="80" t="s">
        <v>197</v>
      </c>
      <c r="E5" s="80" t="s">
        <v>9</v>
      </c>
      <c r="F5" s="81" t="s">
        <v>197</v>
      </c>
      <c r="G5" s="81" t="s">
        <v>9</v>
      </c>
      <c r="H5" s="258"/>
      <c r="I5" s="79"/>
      <c r="J5" s="79"/>
      <c r="K5" s="79"/>
      <c r="L5" s="79"/>
      <c r="M5" s="79"/>
      <c r="N5" s="79"/>
      <c r="O5" s="79"/>
      <c r="P5" s="79"/>
      <c r="Q5" s="79"/>
      <c r="R5" s="79"/>
      <c r="S5" s="79"/>
      <c r="T5" s="79"/>
      <c r="U5" s="79"/>
      <c r="V5" s="79"/>
      <c r="W5" s="79"/>
      <c r="X5" s="79"/>
      <c r="Y5" s="79"/>
      <c r="Z5" s="79"/>
    </row>
    <row r="6" spans="1:26" ht="24.75" customHeight="1">
      <c r="A6" s="82" t="s">
        <v>198</v>
      </c>
      <c r="B6" s="83" t="s">
        <v>199</v>
      </c>
      <c r="C6" s="84">
        <v>100</v>
      </c>
      <c r="D6" s="85"/>
      <c r="E6" s="86">
        <f>E7-E8-E9-E10-E11-E12+E13-E14-E15-E16</f>
        <v>0</v>
      </c>
      <c r="F6" s="85"/>
      <c r="G6" s="86">
        <f>G7-G8-G9-G10-G11-G12+G13-G14-G15-G16</f>
        <v>0</v>
      </c>
      <c r="H6" s="87"/>
      <c r="I6" s="79"/>
      <c r="J6" s="79"/>
      <c r="K6" s="79"/>
      <c r="L6" s="79"/>
      <c r="M6" s="79"/>
      <c r="N6" s="79"/>
      <c r="O6" s="79"/>
      <c r="P6" s="79"/>
      <c r="Q6" s="79"/>
      <c r="R6" s="79"/>
      <c r="S6" s="79"/>
      <c r="T6" s="79"/>
      <c r="U6" s="79"/>
      <c r="V6" s="79"/>
      <c r="W6" s="79"/>
      <c r="X6" s="79"/>
      <c r="Y6" s="79"/>
      <c r="Z6" s="79"/>
    </row>
    <row r="7" spans="1:26" ht="38.25" customHeight="1">
      <c r="A7" s="88">
        <v>1</v>
      </c>
      <c r="B7" s="89" t="s">
        <v>200</v>
      </c>
      <c r="C7" s="90"/>
      <c r="D7" s="90"/>
      <c r="E7" s="91"/>
      <c r="F7" s="90"/>
      <c r="G7" s="92"/>
      <c r="H7" s="92"/>
      <c r="I7" s="79"/>
      <c r="J7" s="79"/>
      <c r="K7" s="79"/>
      <c r="L7" s="79"/>
      <c r="M7" s="79"/>
      <c r="N7" s="79"/>
      <c r="O7" s="79"/>
      <c r="P7" s="79"/>
      <c r="Q7" s="79"/>
      <c r="R7" s="79"/>
      <c r="S7" s="79"/>
      <c r="T7" s="79"/>
      <c r="U7" s="79"/>
      <c r="V7" s="79"/>
      <c r="W7" s="79"/>
      <c r="X7" s="79"/>
      <c r="Y7" s="79"/>
      <c r="Z7" s="79"/>
    </row>
    <row r="8" spans="1:26" ht="48" customHeight="1">
      <c r="A8" s="90"/>
      <c r="B8" s="93" t="s">
        <v>201</v>
      </c>
      <c r="C8" s="90"/>
      <c r="D8" s="94"/>
      <c r="E8" s="88"/>
      <c r="F8" s="94"/>
      <c r="G8" s="88"/>
      <c r="H8" s="95" t="s">
        <v>202</v>
      </c>
      <c r="I8" s="79"/>
      <c r="J8" s="79"/>
      <c r="K8" s="79"/>
      <c r="L8" s="79"/>
      <c r="M8" s="79"/>
      <c r="N8" s="79"/>
      <c r="O8" s="79"/>
      <c r="P8" s="79"/>
      <c r="Q8" s="79"/>
      <c r="R8" s="79"/>
      <c r="S8" s="79"/>
      <c r="T8" s="79"/>
      <c r="U8" s="79"/>
      <c r="V8" s="79"/>
      <c r="W8" s="79"/>
      <c r="X8" s="79"/>
      <c r="Y8" s="79"/>
      <c r="Z8" s="79"/>
    </row>
    <row r="9" spans="1:26" ht="24.75" customHeight="1">
      <c r="A9" s="90"/>
      <c r="B9" s="93" t="s">
        <v>203</v>
      </c>
      <c r="C9" s="90"/>
      <c r="D9" s="94"/>
      <c r="E9" s="88"/>
      <c r="F9" s="94"/>
      <c r="G9" s="88"/>
      <c r="H9" s="92"/>
      <c r="I9" s="79"/>
      <c r="J9" s="79"/>
      <c r="K9" s="79"/>
      <c r="L9" s="79"/>
      <c r="M9" s="79"/>
      <c r="N9" s="79"/>
      <c r="O9" s="79"/>
      <c r="P9" s="79"/>
      <c r="Q9" s="79"/>
      <c r="R9" s="79"/>
      <c r="S9" s="79"/>
      <c r="T9" s="79"/>
      <c r="U9" s="79"/>
      <c r="V9" s="79"/>
      <c r="W9" s="79"/>
      <c r="X9" s="79"/>
      <c r="Y9" s="79"/>
      <c r="Z9" s="79"/>
    </row>
    <row r="10" spans="1:26" ht="21.75" customHeight="1">
      <c r="A10" s="90"/>
      <c r="B10" s="93" t="s">
        <v>204</v>
      </c>
      <c r="C10" s="90"/>
      <c r="D10" s="94"/>
      <c r="E10" s="88"/>
      <c r="F10" s="94"/>
      <c r="G10" s="88"/>
      <c r="H10" s="92"/>
      <c r="I10" s="79"/>
      <c r="J10" s="79"/>
      <c r="K10" s="79"/>
      <c r="L10" s="79"/>
      <c r="M10" s="79"/>
      <c r="N10" s="79"/>
      <c r="O10" s="79"/>
      <c r="P10" s="79"/>
      <c r="Q10" s="79"/>
      <c r="R10" s="79"/>
      <c r="S10" s="79"/>
      <c r="T10" s="79"/>
      <c r="U10" s="79"/>
      <c r="V10" s="79"/>
      <c r="W10" s="79"/>
      <c r="X10" s="79"/>
      <c r="Y10" s="79"/>
      <c r="Z10" s="79"/>
    </row>
    <row r="11" spans="1:26" ht="24" customHeight="1">
      <c r="A11" s="90"/>
      <c r="B11" s="93" t="s">
        <v>205</v>
      </c>
      <c r="C11" s="90"/>
      <c r="D11" s="94"/>
      <c r="E11" s="88"/>
      <c r="F11" s="94"/>
      <c r="G11" s="88"/>
      <c r="H11" s="92"/>
      <c r="I11" s="79"/>
      <c r="J11" s="79"/>
      <c r="K11" s="79"/>
      <c r="L11" s="79"/>
      <c r="M11" s="79"/>
      <c r="N11" s="79"/>
      <c r="O11" s="79"/>
      <c r="P11" s="79"/>
      <c r="Q11" s="79"/>
      <c r="R11" s="79"/>
      <c r="S11" s="79"/>
      <c r="T11" s="79"/>
      <c r="U11" s="79"/>
      <c r="V11" s="79"/>
      <c r="W11" s="79"/>
      <c r="X11" s="79"/>
      <c r="Y11" s="79"/>
      <c r="Z11" s="79"/>
    </row>
    <row r="12" spans="1:26" ht="36" customHeight="1">
      <c r="A12" s="90"/>
      <c r="B12" s="93" t="s">
        <v>206</v>
      </c>
      <c r="C12" s="90"/>
      <c r="D12" s="94"/>
      <c r="E12" s="88"/>
      <c r="F12" s="94"/>
      <c r="G12" s="88"/>
      <c r="H12" s="92"/>
      <c r="I12" s="79"/>
      <c r="J12" s="79"/>
      <c r="K12" s="79"/>
      <c r="L12" s="79"/>
      <c r="M12" s="79"/>
      <c r="N12" s="79"/>
      <c r="O12" s="79"/>
      <c r="P12" s="79"/>
      <c r="Q12" s="79"/>
      <c r="R12" s="79"/>
      <c r="S12" s="79"/>
      <c r="T12" s="79"/>
      <c r="U12" s="79"/>
      <c r="V12" s="79"/>
      <c r="W12" s="79"/>
      <c r="X12" s="79"/>
      <c r="Y12" s="79"/>
      <c r="Z12" s="79"/>
    </row>
    <row r="13" spans="1:26" ht="60" customHeight="1">
      <c r="A13" s="88">
        <v>2</v>
      </c>
      <c r="B13" s="89" t="s">
        <v>207</v>
      </c>
      <c r="C13" s="90"/>
      <c r="D13" s="90"/>
      <c r="E13" s="91"/>
      <c r="F13" s="90"/>
      <c r="G13" s="92"/>
      <c r="H13" s="92"/>
      <c r="I13" s="79"/>
      <c r="J13" s="79"/>
      <c r="K13" s="79"/>
      <c r="L13" s="79"/>
      <c r="M13" s="79"/>
      <c r="N13" s="79"/>
      <c r="O13" s="79"/>
      <c r="P13" s="79"/>
      <c r="Q13" s="79"/>
      <c r="R13" s="79"/>
      <c r="S13" s="79"/>
      <c r="T13" s="79"/>
      <c r="U13" s="79"/>
      <c r="V13" s="79"/>
      <c r="W13" s="79"/>
      <c r="X13" s="79"/>
      <c r="Y13" s="79"/>
      <c r="Z13" s="79"/>
    </row>
    <row r="14" spans="1:26" ht="42" customHeight="1">
      <c r="A14" s="90"/>
      <c r="B14" s="93" t="s">
        <v>208</v>
      </c>
      <c r="C14" s="90"/>
      <c r="D14" s="94"/>
      <c r="E14" s="88"/>
      <c r="F14" s="94"/>
      <c r="G14" s="88"/>
      <c r="H14" s="92"/>
      <c r="I14" s="79"/>
      <c r="J14" s="79"/>
      <c r="K14" s="79"/>
      <c r="L14" s="79"/>
      <c r="M14" s="79"/>
      <c r="N14" s="79"/>
      <c r="O14" s="79"/>
      <c r="P14" s="79"/>
      <c r="Q14" s="79"/>
      <c r="R14" s="79"/>
      <c r="S14" s="79"/>
      <c r="T14" s="79"/>
      <c r="U14" s="79"/>
      <c r="V14" s="79"/>
      <c r="W14" s="79"/>
      <c r="X14" s="79"/>
      <c r="Y14" s="79"/>
      <c r="Z14" s="79"/>
    </row>
    <row r="15" spans="1:26" ht="55.5" customHeight="1">
      <c r="A15" s="90"/>
      <c r="B15" s="93" t="s">
        <v>209</v>
      </c>
      <c r="C15" s="90"/>
      <c r="D15" s="94"/>
      <c r="E15" s="88"/>
      <c r="F15" s="94"/>
      <c r="G15" s="88"/>
      <c r="H15" s="91" t="s">
        <v>210</v>
      </c>
      <c r="I15" s="96" t="s">
        <v>211</v>
      </c>
      <c r="J15" s="79"/>
      <c r="K15" s="79"/>
      <c r="L15" s="79"/>
      <c r="M15" s="79"/>
      <c r="N15" s="79"/>
      <c r="O15" s="79"/>
      <c r="P15" s="79"/>
      <c r="Q15" s="79"/>
      <c r="R15" s="79"/>
      <c r="S15" s="79"/>
      <c r="T15" s="79"/>
      <c r="U15" s="79"/>
      <c r="V15" s="79"/>
      <c r="W15" s="79"/>
      <c r="X15" s="79"/>
      <c r="Y15" s="79"/>
      <c r="Z15" s="79"/>
    </row>
    <row r="16" spans="1:26" ht="37.5" customHeight="1">
      <c r="A16" s="90"/>
      <c r="B16" s="93" t="s">
        <v>212</v>
      </c>
      <c r="C16" s="90"/>
      <c r="D16" s="94"/>
      <c r="E16" s="88"/>
      <c r="F16" s="94"/>
      <c r="G16" s="88"/>
      <c r="H16" s="92"/>
      <c r="I16" s="79"/>
      <c r="J16" s="79"/>
      <c r="K16" s="79"/>
      <c r="L16" s="79"/>
      <c r="M16" s="79"/>
      <c r="N16" s="79"/>
      <c r="O16" s="79"/>
      <c r="P16" s="79"/>
      <c r="Q16" s="79"/>
      <c r="R16" s="79"/>
      <c r="S16" s="79"/>
      <c r="T16" s="79"/>
      <c r="U16" s="79"/>
      <c r="V16" s="79"/>
      <c r="W16" s="79"/>
      <c r="X16" s="79"/>
      <c r="Y16" s="79"/>
      <c r="Z16" s="79"/>
    </row>
    <row r="17" spans="1:26" ht="23.25" customHeight="1">
      <c r="A17" s="86" t="s">
        <v>213</v>
      </c>
      <c r="B17" s="97" t="s">
        <v>214</v>
      </c>
      <c r="C17" s="86">
        <v>200</v>
      </c>
      <c r="D17" s="90"/>
      <c r="E17" s="86">
        <f>E18-E19-E20-E21+E22+E23-E24+E25-E26+E27-E28-E29+E30</f>
        <v>0</v>
      </c>
      <c r="F17" s="90"/>
      <c r="G17" s="86">
        <f>G18-G19-G20-G21+G22+G23-G24+G25-G26+G27-G28-G29+G30</f>
        <v>0</v>
      </c>
      <c r="H17" s="92"/>
      <c r="I17" s="79"/>
      <c r="J17" s="79"/>
      <c r="K17" s="79"/>
      <c r="L17" s="79"/>
      <c r="M17" s="79"/>
      <c r="N17" s="79"/>
      <c r="O17" s="79"/>
      <c r="P17" s="79"/>
      <c r="Q17" s="79"/>
      <c r="R17" s="79"/>
      <c r="S17" s="79"/>
      <c r="T17" s="79"/>
      <c r="U17" s="79"/>
      <c r="V17" s="79"/>
      <c r="W17" s="79"/>
      <c r="X17" s="79"/>
      <c r="Y17" s="79"/>
      <c r="Z17" s="79"/>
    </row>
    <row r="18" spans="1:26" ht="42" customHeight="1">
      <c r="A18" s="88">
        <v>1</v>
      </c>
      <c r="B18" s="89" t="s">
        <v>215</v>
      </c>
      <c r="C18" s="90"/>
      <c r="D18" s="90"/>
      <c r="E18" s="92"/>
      <c r="F18" s="90"/>
      <c r="G18" s="92"/>
      <c r="H18" s="95" t="s">
        <v>216</v>
      </c>
      <c r="I18" s="79"/>
      <c r="J18" s="79"/>
      <c r="K18" s="79"/>
      <c r="L18" s="79"/>
      <c r="M18" s="79"/>
      <c r="N18" s="79"/>
      <c r="O18" s="79"/>
      <c r="P18" s="79"/>
      <c r="Q18" s="79"/>
      <c r="R18" s="79"/>
      <c r="S18" s="79"/>
      <c r="T18" s="79"/>
      <c r="U18" s="79"/>
      <c r="V18" s="79"/>
      <c r="W18" s="79"/>
      <c r="X18" s="79"/>
      <c r="Y18" s="79"/>
      <c r="Z18" s="79"/>
    </row>
    <row r="19" spans="1:26" ht="25.5" customHeight="1">
      <c r="A19" s="90"/>
      <c r="B19" s="93" t="s">
        <v>217</v>
      </c>
      <c r="C19" s="98"/>
      <c r="D19" s="94"/>
      <c r="E19" s="88"/>
      <c r="F19" s="94"/>
      <c r="G19" s="88"/>
      <c r="H19" s="92"/>
      <c r="I19" s="79"/>
      <c r="J19" s="79"/>
      <c r="K19" s="79"/>
      <c r="L19" s="79"/>
      <c r="M19" s="79"/>
      <c r="N19" s="79"/>
      <c r="O19" s="79"/>
      <c r="P19" s="79"/>
      <c r="Q19" s="79"/>
      <c r="R19" s="79"/>
      <c r="S19" s="79"/>
      <c r="T19" s="79"/>
      <c r="U19" s="79"/>
      <c r="V19" s="79"/>
      <c r="W19" s="79"/>
      <c r="X19" s="79"/>
      <c r="Y19" s="79"/>
      <c r="Z19" s="79"/>
    </row>
    <row r="20" spans="1:26" ht="31.5">
      <c r="A20" s="90"/>
      <c r="B20" s="93" t="s">
        <v>218</v>
      </c>
      <c r="C20" s="98"/>
      <c r="D20" s="94"/>
      <c r="E20" s="88"/>
      <c r="F20" s="94"/>
      <c r="G20" s="88"/>
      <c r="H20" s="92"/>
      <c r="I20" s="79"/>
      <c r="J20" s="79"/>
      <c r="K20" s="79"/>
      <c r="L20" s="79"/>
      <c r="M20" s="79"/>
      <c r="N20" s="79"/>
      <c r="O20" s="79"/>
      <c r="P20" s="79"/>
      <c r="Q20" s="79"/>
      <c r="R20" s="79"/>
      <c r="S20" s="79"/>
      <c r="T20" s="79"/>
      <c r="U20" s="79"/>
      <c r="V20" s="79"/>
      <c r="W20" s="79"/>
      <c r="X20" s="79"/>
      <c r="Y20" s="79"/>
      <c r="Z20" s="79"/>
    </row>
    <row r="21" spans="1:26" ht="43.5" customHeight="1">
      <c r="A21" s="90"/>
      <c r="B21" s="93" t="s">
        <v>219</v>
      </c>
      <c r="C21" s="98"/>
      <c r="D21" s="94"/>
      <c r="E21" s="88"/>
      <c r="F21" s="94"/>
      <c r="G21" s="88"/>
      <c r="H21" s="99"/>
      <c r="I21" s="79"/>
      <c r="J21" s="79"/>
      <c r="K21" s="79"/>
      <c r="L21" s="79"/>
      <c r="M21" s="79"/>
      <c r="N21" s="79"/>
      <c r="O21" s="79"/>
      <c r="P21" s="79"/>
      <c r="Q21" s="79"/>
      <c r="R21" s="79"/>
      <c r="S21" s="79"/>
      <c r="T21" s="79"/>
      <c r="U21" s="79"/>
      <c r="V21" s="79"/>
      <c r="W21" s="79"/>
      <c r="X21" s="79"/>
      <c r="Y21" s="79"/>
      <c r="Z21" s="79"/>
    </row>
    <row r="22" spans="1:26" ht="35.25" customHeight="1">
      <c r="A22" s="90"/>
      <c r="B22" s="93" t="s">
        <v>220</v>
      </c>
      <c r="C22" s="98"/>
      <c r="D22" s="94"/>
      <c r="E22" s="88"/>
      <c r="F22" s="94"/>
      <c r="G22" s="88"/>
      <c r="H22" s="100" t="s">
        <v>221</v>
      </c>
      <c r="I22" s="79"/>
      <c r="J22" s="79"/>
      <c r="K22" s="79"/>
      <c r="L22" s="79"/>
      <c r="M22" s="79"/>
      <c r="N22" s="79"/>
      <c r="O22" s="79"/>
      <c r="P22" s="79"/>
      <c r="Q22" s="79"/>
      <c r="R22" s="79"/>
      <c r="S22" s="79"/>
      <c r="T22" s="79"/>
      <c r="U22" s="79"/>
      <c r="V22" s="79"/>
      <c r="W22" s="79"/>
      <c r="X22" s="79"/>
      <c r="Y22" s="79"/>
      <c r="Z22" s="79"/>
    </row>
    <row r="23" spans="1:26" ht="60" customHeight="1">
      <c r="A23" s="88">
        <v>2</v>
      </c>
      <c r="B23" s="89" t="s">
        <v>222</v>
      </c>
      <c r="C23" s="98"/>
      <c r="D23" s="90"/>
      <c r="E23" s="92"/>
      <c r="F23" s="90"/>
      <c r="G23" s="92"/>
      <c r="H23" s="92"/>
      <c r="I23" s="79"/>
      <c r="J23" s="79"/>
      <c r="K23" s="79"/>
      <c r="L23" s="79"/>
      <c r="M23" s="79"/>
      <c r="N23" s="79"/>
      <c r="O23" s="79"/>
      <c r="P23" s="79"/>
      <c r="Q23" s="79"/>
      <c r="R23" s="79"/>
      <c r="S23" s="79"/>
      <c r="T23" s="79"/>
      <c r="U23" s="79"/>
      <c r="V23" s="79"/>
      <c r="W23" s="79"/>
      <c r="X23" s="79"/>
      <c r="Y23" s="79"/>
      <c r="Z23" s="79"/>
    </row>
    <row r="24" spans="1:26" ht="42" customHeight="1">
      <c r="A24" s="90"/>
      <c r="B24" s="93" t="s">
        <v>223</v>
      </c>
      <c r="C24" s="98"/>
      <c r="D24" s="94"/>
      <c r="E24" s="88"/>
      <c r="F24" s="94"/>
      <c r="G24" s="88"/>
      <c r="H24" s="92"/>
      <c r="I24" s="79"/>
      <c r="J24" s="79"/>
      <c r="K24" s="79"/>
      <c r="L24" s="79"/>
      <c r="M24" s="79"/>
      <c r="N24" s="79"/>
      <c r="O24" s="79"/>
      <c r="P24" s="79"/>
      <c r="Q24" s="79"/>
      <c r="R24" s="79"/>
      <c r="S24" s="79"/>
      <c r="T24" s="79"/>
      <c r="U24" s="79"/>
      <c r="V24" s="79"/>
      <c r="W24" s="79"/>
      <c r="X24" s="79"/>
      <c r="Y24" s="79"/>
      <c r="Z24" s="79"/>
    </row>
    <row r="25" spans="1:26" ht="55.5" customHeight="1">
      <c r="A25" s="88">
        <v>3</v>
      </c>
      <c r="B25" s="89" t="s">
        <v>224</v>
      </c>
      <c r="C25" s="98"/>
      <c r="D25" s="90"/>
      <c r="E25" s="92"/>
      <c r="F25" s="90"/>
      <c r="G25" s="92"/>
      <c r="H25" s="92"/>
      <c r="I25" s="79"/>
      <c r="J25" s="79"/>
      <c r="K25" s="79"/>
      <c r="L25" s="79"/>
      <c r="M25" s="79"/>
      <c r="N25" s="79"/>
      <c r="O25" s="79"/>
      <c r="P25" s="79"/>
      <c r="Q25" s="79"/>
      <c r="R25" s="79"/>
      <c r="S25" s="79"/>
      <c r="T25" s="79"/>
      <c r="U25" s="79"/>
      <c r="V25" s="79"/>
      <c r="W25" s="79"/>
      <c r="X25" s="79"/>
      <c r="Y25" s="79"/>
      <c r="Z25" s="79"/>
    </row>
    <row r="26" spans="1:26" ht="36.75" customHeight="1">
      <c r="A26" s="90"/>
      <c r="B26" s="93" t="s">
        <v>225</v>
      </c>
      <c r="C26" s="98"/>
      <c r="D26" s="94"/>
      <c r="E26" s="88"/>
      <c r="F26" s="94"/>
      <c r="G26" s="88"/>
      <c r="H26" s="92"/>
      <c r="I26" s="79"/>
      <c r="J26" s="79"/>
      <c r="K26" s="79"/>
      <c r="L26" s="79"/>
      <c r="M26" s="79"/>
      <c r="N26" s="79"/>
      <c r="O26" s="79"/>
      <c r="P26" s="79"/>
      <c r="Q26" s="79"/>
      <c r="R26" s="79"/>
      <c r="S26" s="79"/>
      <c r="T26" s="79"/>
      <c r="U26" s="79"/>
      <c r="V26" s="79"/>
      <c r="W26" s="79"/>
      <c r="X26" s="79"/>
      <c r="Y26" s="79"/>
      <c r="Z26" s="79"/>
    </row>
    <row r="27" spans="1:26" ht="75">
      <c r="A27" s="88">
        <v>4</v>
      </c>
      <c r="B27" s="89" t="s">
        <v>226</v>
      </c>
      <c r="C27" s="98"/>
      <c r="D27" s="90"/>
      <c r="E27" s="92"/>
      <c r="F27" s="90"/>
      <c r="G27" s="92"/>
      <c r="H27" s="92"/>
      <c r="I27" s="79"/>
      <c r="J27" s="79"/>
      <c r="K27" s="79"/>
      <c r="L27" s="79"/>
      <c r="M27" s="79"/>
      <c r="N27" s="79"/>
      <c r="O27" s="79"/>
      <c r="P27" s="79"/>
      <c r="Q27" s="79"/>
      <c r="R27" s="79"/>
      <c r="S27" s="79"/>
      <c r="T27" s="79"/>
      <c r="U27" s="79"/>
      <c r="V27" s="79"/>
      <c r="W27" s="79"/>
      <c r="X27" s="79"/>
      <c r="Y27" s="79"/>
      <c r="Z27" s="79"/>
    </row>
    <row r="28" spans="1:26" ht="27" customHeight="1">
      <c r="A28" s="90"/>
      <c r="B28" s="93" t="s">
        <v>227</v>
      </c>
      <c r="C28" s="98"/>
      <c r="D28" s="94"/>
      <c r="E28" s="88"/>
      <c r="F28" s="94"/>
      <c r="G28" s="88"/>
      <c r="H28" s="99"/>
      <c r="I28" s="79"/>
      <c r="J28" s="79"/>
      <c r="K28" s="79"/>
      <c r="L28" s="79"/>
      <c r="M28" s="79"/>
      <c r="N28" s="79"/>
      <c r="O28" s="79"/>
      <c r="P28" s="79"/>
      <c r="Q28" s="79"/>
      <c r="R28" s="79"/>
      <c r="S28" s="79"/>
      <c r="T28" s="79"/>
      <c r="U28" s="79"/>
      <c r="V28" s="79"/>
      <c r="W28" s="79"/>
      <c r="X28" s="79"/>
      <c r="Y28" s="79"/>
      <c r="Z28" s="79"/>
    </row>
    <row r="29" spans="1:26" ht="33.75" customHeight="1">
      <c r="A29" s="90"/>
      <c r="B29" s="93" t="s">
        <v>228</v>
      </c>
      <c r="C29" s="98"/>
      <c r="D29" s="94"/>
      <c r="E29" s="88"/>
      <c r="F29" s="94"/>
      <c r="G29" s="88"/>
      <c r="H29" s="92"/>
      <c r="I29" s="79"/>
      <c r="J29" s="79"/>
      <c r="K29" s="79"/>
      <c r="L29" s="79"/>
      <c r="M29" s="79"/>
      <c r="N29" s="79"/>
      <c r="O29" s="79"/>
      <c r="P29" s="79"/>
      <c r="Q29" s="79"/>
      <c r="R29" s="79"/>
      <c r="S29" s="79"/>
      <c r="T29" s="79"/>
      <c r="U29" s="79"/>
      <c r="V29" s="79"/>
      <c r="W29" s="79"/>
      <c r="X29" s="79"/>
      <c r="Y29" s="79"/>
      <c r="Z29" s="79"/>
    </row>
    <row r="30" spans="1:26" ht="93.75">
      <c r="A30" s="101">
        <v>5</v>
      </c>
      <c r="B30" s="102" t="s">
        <v>229</v>
      </c>
      <c r="C30" s="103"/>
      <c r="D30" s="104"/>
      <c r="E30" s="105"/>
      <c r="F30" s="101"/>
      <c r="G30" s="101"/>
      <c r="H30" s="106"/>
      <c r="I30" s="107"/>
      <c r="J30" s="107"/>
      <c r="K30" s="107"/>
      <c r="L30" s="107"/>
      <c r="M30" s="107"/>
      <c r="N30" s="107"/>
      <c r="O30" s="107"/>
      <c r="P30" s="107"/>
      <c r="Q30" s="107"/>
      <c r="R30" s="107"/>
      <c r="S30" s="107"/>
      <c r="T30" s="107"/>
      <c r="U30" s="107"/>
      <c r="V30" s="107"/>
      <c r="W30" s="107"/>
      <c r="X30" s="107"/>
      <c r="Y30" s="107"/>
      <c r="Z30" s="107"/>
    </row>
    <row r="31" spans="1:26" ht="21.75" customHeight="1">
      <c r="A31" s="86" t="s">
        <v>230</v>
      </c>
      <c r="B31" s="97" t="s">
        <v>231</v>
      </c>
      <c r="C31" s="86">
        <v>400</v>
      </c>
      <c r="D31" s="90"/>
      <c r="E31" s="86">
        <f>E32-E33+E34+E35+E37+E38+E39+E40+E41+E42-E43+E44-E45-E46-E47-E48+E49-E50-E51+E54</f>
        <v>0</v>
      </c>
      <c r="F31" s="90"/>
      <c r="G31" s="86">
        <f>G32-G33+G34+G35+G37+G38+G39+G40+G41+G42-G43+G44-G45-G46-G47-G48+G49-G50-G51+G54</f>
        <v>0</v>
      </c>
      <c r="H31" s="92"/>
      <c r="I31" s="79"/>
      <c r="J31" s="79"/>
      <c r="K31" s="79"/>
      <c r="L31" s="79"/>
      <c r="M31" s="79"/>
      <c r="N31" s="79"/>
      <c r="O31" s="79"/>
      <c r="P31" s="79"/>
      <c r="Q31" s="79"/>
      <c r="R31" s="79"/>
      <c r="S31" s="79"/>
      <c r="T31" s="79"/>
      <c r="U31" s="79"/>
      <c r="V31" s="79"/>
      <c r="W31" s="79"/>
      <c r="X31" s="79"/>
      <c r="Y31" s="79"/>
      <c r="Z31" s="79"/>
    </row>
    <row r="32" spans="1:26" ht="57" customHeight="1">
      <c r="A32" s="88">
        <v>1</v>
      </c>
      <c r="B32" s="89" t="s">
        <v>232</v>
      </c>
      <c r="C32" s="90"/>
      <c r="D32" s="108"/>
      <c r="E32" s="92"/>
      <c r="F32" s="108"/>
      <c r="G32" s="92"/>
      <c r="H32" s="92"/>
      <c r="I32" s="79"/>
      <c r="J32" s="79"/>
      <c r="K32" s="79"/>
      <c r="L32" s="79"/>
      <c r="M32" s="79"/>
      <c r="N32" s="79"/>
      <c r="O32" s="79"/>
      <c r="P32" s="79"/>
      <c r="Q32" s="79"/>
      <c r="R32" s="79"/>
      <c r="S32" s="79"/>
      <c r="T32" s="79"/>
      <c r="U32" s="79"/>
      <c r="V32" s="79"/>
      <c r="W32" s="79"/>
      <c r="X32" s="79"/>
      <c r="Y32" s="79"/>
      <c r="Z32" s="79"/>
    </row>
    <row r="33" spans="1:26" ht="36" customHeight="1">
      <c r="A33" s="90"/>
      <c r="B33" s="93" t="s">
        <v>233</v>
      </c>
      <c r="C33" s="90"/>
      <c r="D33" s="109"/>
      <c r="E33" s="88"/>
      <c r="F33" s="109"/>
      <c r="G33" s="88"/>
      <c r="H33" s="92"/>
      <c r="I33" s="79"/>
      <c r="J33" s="79"/>
      <c r="K33" s="79"/>
      <c r="L33" s="79"/>
      <c r="M33" s="79"/>
      <c r="N33" s="79"/>
      <c r="O33" s="79"/>
      <c r="P33" s="79"/>
      <c r="Q33" s="79"/>
      <c r="R33" s="79"/>
      <c r="S33" s="79"/>
      <c r="T33" s="79"/>
      <c r="U33" s="79"/>
      <c r="V33" s="79"/>
      <c r="W33" s="79"/>
      <c r="X33" s="79"/>
      <c r="Y33" s="79"/>
      <c r="Z33" s="79"/>
    </row>
    <row r="34" spans="1:26" ht="40.5" customHeight="1">
      <c r="A34" s="88">
        <v>2</v>
      </c>
      <c r="B34" s="89" t="s">
        <v>234</v>
      </c>
      <c r="C34" s="90"/>
      <c r="D34" s="108"/>
      <c r="E34" s="92"/>
      <c r="F34" s="108"/>
      <c r="G34" s="92"/>
      <c r="H34" s="92"/>
      <c r="I34" s="79"/>
      <c r="J34" s="79"/>
      <c r="K34" s="79"/>
      <c r="L34" s="79"/>
      <c r="M34" s="79"/>
      <c r="N34" s="79"/>
      <c r="O34" s="79"/>
      <c r="P34" s="79"/>
      <c r="Q34" s="79"/>
      <c r="R34" s="79"/>
      <c r="S34" s="79"/>
      <c r="T34" s="79"/>
      <c r="U34" s="79"/>
      <c r="V34" s="79"/>
      <c r="W34" s="79"/>
      <c r="X34" s="79"/>
      <c r="Y34" s="79"/>
      <c r="Z34" s="79"/>
    </row>
    <row r="35" spans="1:26" ht="33.75" customHeight="1">
      <c r="A35" s="90"/>
      <c r="B35" s="93" t="s">
        <v>235</v>
      </c>
      <c r="C35" s="90"/>
      <c r="D35" s="109"/>
      <c r="E35" s="88"/>
      <c r="F35" s="109"/>
      <c r="G35" s="88"/>
      <c r="H35" s="92"/>
      <c r="I35" s="79"/>
      <c r="J35" s="79"/>
      <c r="K35" s="79"/>
      <c r="L35" s="79"/>
      <c r="M35" s="79"/>
      <c r="N35" s="79"/>
      <c r="O35" s="79"/>
      <c r="P35" s="79"/>
      <c r="Q35" s="79"/>
      <c r="R35" s="79"/>
      <c r="S35" s="79"/>
      <c r="T35" s="79"/>
      <c r="U35" s="79"/>
      <c r="V35" s="79"/>
      <c r="W35" s="79"/>
      <c r="X35" s="79"/>
      <c r="Y35" s="79"/>
      <c r="Z35" s="79"/>
    </row>
    <row r="36" spans="1:26" ht="21" customHeight="1">
      <c r="A36" s="90"/>
      <c r="B36" s="110" t="s">
        <v>236</v>
      </c>
      <c r="C36" s="90"/>
      <c r="D36" s="108"/>
      <c r="E36" s="92"/>
      <c r="F36" s="108"/>
      <c r="G36" s="92"/>
      <c r="H36" s="92"/>
      <c r="I36" s="79"/>
      <c r="J36" s="79"/>
      <c r="K36" s="79"/>
      <c r="L36" s="79"/>
      <c r="M36" s="79"/>
      <c r="N36" s="79"/>
      <c r="O36" s="79"/>
      <c r="P36" s="79"/>
      <c r="Q36" s="79"/>
      <c r="R36" s="79"/>
      <c r="S36" s="79"/>
      <c r="T36" s="79"/>
      <c r="U36" s="79"/>
      <c r="V36" s="79"/>
      <c r="W36" s="79"/>
      <c r="X36" s="79"/>
      <c r="Y36" s="79"/>
      <c r="Z36" s="79"/>
    </row>
    <row r="37" spans="1:26" ht="31.5">
      <c r="A37" s="90"/>
      <c r="B37" s="93" t="s">
        <v>237</v>
      </c>
      <c r="C37" s="90"/>
      <c r="D37" s="109"/>
      <c r="E37" s="88"/>
      <c r="F37" s="109"/>
      <c r="G37" s="88"/>
      <c r="H37" s="92"/>
      <c r="I37" s="79"/>
      <c r="J37" s="79"/>
      <c r="K37" s="79"/>
      <c r="L37" s="79"/>
      <c r="M37" s="79"/>
      <c r="N37" s="79"/>
      <c r="O37" s="79"/>
      <c r="P37" s="79"/>
      <c r="Q37" s="79"/>
      <c r="R37" s="79"/>
      <c r="S37" s="79"/>
      <c r="T37" s="79"/>
      <c r="U37" s="79"/>
      <c r="V37" s="79"/>
      <c r="W37" s="79"/>
      <c r="X37" s="79"/>
      <c r="Y37" s="79"/>
      <c r="Z37" s="79"/>
    </row>
    <row r="38" spans="1:26" ht="44.25" customHeight="1">
      <c r="A38" s="90"/>
      <c r="B38" s="93" t="s">
        <v>238</v>
      </c>
      <c r="C38" s="90"/>
      <c r="D38" s="109"/>
      <c r="E38" s="88"/>
      <c r="F38" s="109"/>
      <c r="G38" s="88"/>
      <c r="H38" s="92"/>
      <c r="I38" s="79"/>
      <c r="J38" s="79"/>
      <c r="K38" s="79"/>
      <c r="L38" s="79"/>
      <c r="M38" s="79"/>
      <c r="N38" s="79"/>
      <c r="O38" s="79"/>
      <c r="P38" s="79"/>
      <c r="Q38" s="79"/>
      <c r="R38" s="79"/>
      <c r="S38" s="79"/>
      <c r="T38" s="79"/>
      <c r="U38" s="79"/>
      <c r="V38" s="79"/>
      <c r="W38" s="79"/>
      <c r="X38" s="79"/>
      <c r="Y38" s="79"/>
      <c r="Z38" s="79"/>
    </row>
    <row r="39" spans="1:26" ht="64.5" customHeight="1">
      <c r="A39" s="90"/>
      <c r="B39" s="93" t="s">
        <v>239</v>
      </c>
      <c r="C39" s="90"/>
      <c r="D39" s="109"/>
      <c r="E39" s="88"/>
      <c r="F39" s="109"/>
      <c r="G39" s="88"/>
      <c r="H39" s="92"/>
      <c r="I39" s="79"/>
      <c r="J39" s="79"/>
      <c r="K39" s="79"/>
      <c r="L39" s="79"/>
      <c r="M39" s="79"/>
      <c r="N39" s="79"/>
      <c r="O39" s="79"/>
      <c r="P39" s="79"/>
      <c r="Q39" s="79"/>
      <c r="R39" s="79"/>
      <c r="S39" s="79"/>
      <c r="T39" s="79"/>
      <c r="U39" s="79"/>
      <c r="V39" s="79"/>
      <c r="W39" s="79"/>
      <c r="X39" s="79"/>
      <c r="Y39" s="79"/>
      <c r="Z39" s="79"/>
    </row>
    <row r="40" spans="1:26" ht="31.5">
      <c r="A40" s="90"/>
      <c r="B40" s="93" t="s">
        <v>240</v>
      </c>
      <c r="C40" s="90"/>
      <c r="D40" s="109"/>
      <c r="E40" s="88"/>
      <c r="F40" s="109"/>
      <c r="G40" s="88"/>
      <c r="H40" s="92"/>
      <c r="I40" s="79"/>
      <c r="J40" s="79"/>
      <c r="K40" s="79"/>
      <c r="L40" s="79"/>
      <c r="M40" s="79"/>
      <c r="N40" s="79"/>
      <c r="O40" s="79"/>
      <c r="P40" s="79"/>
      <c r="Q40" s="79"/>
      <c r="R40" s="79"/>
      <c r="S40" s="79"/>
      <c r="T40" s="79"/>
      <c r="U40" s="79"/>
      <c r="V40" s="79"/>
      <c r="W40" s="79"/>
      <c r="X40" s="79"/>
      <c r="Y40" s="79"/>
      <c r="Z40" s="79"/>
    </row>
    <row r="41" spans="1:26" ht="35.25" customHeight="1">
      <c r="A41" s="90"/>
      <c r="B41" s="93" t="s">
        <v>241</v>
      </c>
      <c r="C41" s="90"/>
      <c r="D41" s="109"/>
      <c r="E41" s="88"/>
      <c r="F41" s="109"/>
      <c r="G41" s="88"/>
      <c r="H41" s="92"/>
      <c r="I41" s="79"/>
      <c r="J41" s="79"/>
      <c r="K41" s="79"/>
      <c r="L41" s="79"/>
      <c r="M41" s="79"/>
      <c r="N41" s="79"/>
      <c r="O41" s="79"/>
      <c r="P41" s="79"/>
      <c r="Q41" s="79"/>
      <c r="R41" s="79"/>
      <c r="S41" s="79"/>
      <c r="T41" s="79"/>
      <c r="U41" s="79"/>
      <c r="V41" s="79"/>
      <c r="W41" s="79"/>
      <c r="X41" s="79"/>
      <c r="Y41" s="79"/>
      <c r="Z41" s="79"/>
    </row>
    <row r="42" spans="1:26" ht="54.75" customHeight="1">
      <c r="A42" s="88">
        <v>3</v>
      </c>
      <c r="B42" s="89" t="s">
        <v>242</v>
      </c>
      <c r="C42" s="90"/>
      <c r="D42" s="108"/>
      <c r="E42" s="92"/>
      <c r="F42" s="108"/>
      <c r="G42" s="92"/>
      <c r="H42" s="111" t="s">
        <v>243</v>
      </c>
      <c r="I42" s="79"/>
      <c r="J42" s="79"/>
      <c r="K42" s="79"/>
      <c r="L42" s="79"/>
      <c r="M42" s="79"/>
      <c r="N42" s="79"/>
      <c r="O42" s="79"/>
      <c r="P42" s="79"/>
      <c r="Q42" s="79"/>
      <c r="R42" s="79"/>
      <c r="S42" s="79"/>
      <c r="T42" s="79"/>
      <c r="U42" s="79"/>
      <c r="V42" s="79"/>
      <c r="W42" s="79"/>
      <c r="X42" s="79"/>
      <c r="Y42" s="79"/>
      <c r="Z42" s="79"/>
    </row>
    <row r="43" spans="1:26" ht="21" customHeight="1">
      <c r="A43" s="90"/>
      <c r="B43" s="93" t="s">
        <v>244</v>
      </c>
      <c r="C43" s="90"/>
      <c r="D43" s="109"/>
      <c r="E43" s="88"/>
      <c r="F43" s="109"/>
      <c r="G43" s="88"/>
      <c r="H43" s="92"/>
      <c r="I43" s="79"/>
      <c r="J43" s="79"/>
      <c r="K43" s="79"/>
      <c r="L43" s="79"/>
      <c r="M43" s="79"/>
      <c r="N43" s="79"/>
      <c r="O43" s="79"/>
      <c r="P43" s="79"/>
      <c r="Q43" s="79"/>
      <c r="R43" s="79"/>
      <c r="S43" s="79"/>
      <c r="T43" s="79"/>
      <c r="U43" s="79"/>
      <c r="V43" s="79"/>
      <c r="W43" s="79"/>
      <c r="X43" s="79"/>
      <c r="Y43" s="79"/>
      <c r="Z43" s="79"/>
    </row>
    <row r="44" spans="1:26" ht="54" customHeight="1">
      <c r="A44" s="88">
        <v>4</v>
      </c>
      <c r="B44" s="89" t="s">
        <v>245</v>
      </c>
      <c r="C44" s="90"/>
      <c r="D44" s="108"/>
      <c r="E44" s="92"/>
      <c r="F44" s="108"/>
      <c r="G44" s="92"/>
      <c r="H44" s="92"/>
      <c r="I44" s="79"/>
      <c r="J44" s="79"/>
      <c r="K44" s="79"/>
      <c r="L44" s="79"/>
      <c r="M44" s="79"/>
      <c r="N44" s="79"/>
      <c r="O44" s="79"/>
      <c r="P44" s="79"/>
      <c r="Q44" s="79"/>
      <c r="R44" s="79"/>
      <c r="S44" s="79"/>
      <c r="T44" s="79"/>
      <c r="U44" s="79"/>
      <c r="V44" s="79"/>
      <c r="W44" s="79"/>
      <c r="X44" s="79"/>
      <c r="Y44" s="79"/>
      <c r="Z44" s="79"/>
    </row>
    <row r="45" spans="1:26" ht="33.75" customHeight="1">
      <c r="A45" s="90"/>
      <c r="B45" s="93" t="s">
        <v>246</v>
      </c>
      <c r="C45" s="90"/>
      <c r="D45" s="109"/>
      <c r="E45" s="88"/>
      <c r="F45" s="109"/>
      <c r="G45" s="88"/>
      <c r="H45" s="92"/>
      <c r="I45" s="79"/>
      <c r="J45" s="79"/>
      <c r="K45" s="79"/>
      <c r="L45" s="79"/>
      <c r="M45" s="79"/>
      <c r="N45" s="79"/>
      <c r="O45" s="79"/>
      <c r="P45" s="79"/>
      <c r="Q45" s="79"/>
      <c r="R45" s="79"/>
      <c r="S45" s="79"/>
      <c r="T45" s="79"/>
      <c r="U45" s="79"/>
      <c r="V45" s="79"/>
      <c r="W45" s="79"/>
      <c r="X45" s="79"/>
      <c r="Y45" s="79"/>
      <c r="Z45" s="79"/>
    </row>
    <row r="46" spans="1:26" ht="21" customHeight="1">
      <c r="A46" s="90"/>
      <c r="B46" s="93" t="s">
        <v>247</v>
      </c>
      <c r="C46" s="90"/>
      <c r="D46" s="112"/>
      <c r="E46" s="88"/>
      <c r="F46" s="112"/>
      <c r="G46" s="88"/>
      <c r="H46" s="92"/>
      <c r="I46" s="79"/>
      <c r="J46" s="79"/>
      <c r="K46" s="79"/>
      <c r="L46" s="79"/>
      <c r="M46" s="79"/>
      <c r="N46" s="79"/>
      <c r="O46" s="79"/>
      <c r="P46" s="79"/>
      <c r="Q46" s="79"/>
      <c r="R46" s="79"/>
      <c r="S46" s="79"/>
      <c r="T46" s="79"/>
      <c r="U46" s="79"/>
      <c r="V46" s="79"/>
      <c r="W46" s="79"/>
      <c r="X46" s="79"/>
      <c r="Y46" s="79"/>
      <c r="Z46" s="79"/>
    </row>
    <row r="47" spans="1:26" ht="33" customHeight="1">
      <c r="A47" s="90"/>
      <c r="B47" s="93" t="s">
        <v>248</v>
      </c>
      <c r="C47" s="90"/>
      <c r="D47" s="112"/>
      <c r="E47" s="88"/>
      <c r="F47" s="112"/>
      <c r="G47" s="88"/>
      <c r="H47" s="92"/>
      <c r="I47" s="79"/>
      <c r="J47" s="79"/>
      <c r="K47" s="79"/>
      <c r="L47" s="79"/>
      <c r="M47" s="79"/>
      <c r="N47" s="79"/>
      <c r="O47" s="79"/>
      <c r="P47" s="79"/>
      <c r="Q47" s="79"/>
      <c r="R47" s="79"/>
      <c r="S47" s="79"/>
      <c r="T47" s="79"/>
      <c r="U47" s="79"/>
      <c r="V47" s="79"/>
      <c r="W47" s="79"/>
      <c r="X47" s="79"/>
      <c r="Y47" s="79"/>
      <c r="Z47" s="79"/>
    </row>
    <row r="48" spans="1:26" ht="50.25" customHeight="1">
      <c r="A48" s="90"/>
      <c r="B48" s="93" t="s">
        <v>249</v>
      </c>
      <c r="C48" s="90"/>
      <c r="D48" s="112"/>
      <c r="E48" s="88"/>
      <c r="F48" s="112"/>
      <c r="G48" s="88"/>
      <c r="H48" s="92"/>
      <c r="I48" s="79"/>
      <c r="J48" s="79"/>
      <c r="K48" s="79"/>
      <c r="L48" s="79"/>
      <c r="M48" s="79"/>
      <c r="N48" s="79"/>
      <c r="O48" s="79"/>
      <c r="P48" s="79"/>
      <c r="Q48" s="79"/>
      <c r="R48" s="79"/>
      <c r="S48" s="79"/>
      <c r="T48" s="79"/>
      <c r="U48" s="79"/>
      <c r="V48" s="79"/>
      <c r="W48" s="79"/>
      <c r="X48" s="79"/>
      <c r="Y48" s="79"/>
      <c r="Z48" s="79"/>
    </row>
    <row r="49" spans="1:26" ht="56.25">
      <c r="A49" s="88">
        <v>5</v>
      </c>
      <c r="B49" s="89" t="s">
        <v>250</v>
      </c>
      <c r="C49" s="90"/>
      <c r="D49" s="108"/>
      <c r="E49" s="92"/>
      <c r="F49" s="108"/>
      <c r="G49" s="92"/>
      <c r="H49" s="92"/>
      <c r="I49" s="79"/>
      <c r="J49" s="79"/>
      <c r="K49" s="79"/>
      <c r="L49" s="79"/>
      <c r="M49" s="79"/>
      <c r="N49" s="79"/>
      <c r="O49" s="79"/>
      <c r="P49" s="79"/>
      <c r="Q49" s="79"/>
      <c r="R49" s="79"/>
      <c r="S49" s="79"/>
      <c r="T49" s="79"/>
      <c r="U49" s="79"/>
      <c r="V49" s="79"/>
      <c r="W49" s="79"/>
      <c r="X49" s="79"/>
      <c r="Y49" s="79"/>
      <c r="Z49" s="79"/>
    </row>
    <row r="50" spans="1:26" ht="31.5">
      <c r="A50" s="90"/>
      <c r="B50" s="93" t="s">
        <v>251</v>
      </c>
      <c r="C50" s="90"/>
      <c r="D50" s="109"/>
      <c r="E50" s="88"/>
      <c r="F50" s="109"/>
      <c r="G50" s="88"/>
      <c r="H50" s="99"/>
      <c r="I50" s="79"/>
      <c r="J50" s="79"/>
      <c r="K50" s="79"/>
      <c r="L50" s="79"/>
      <c r="M50" s="79"/>
      <c r="N50" s="79"/>
      <c r="O50" s="79"/>
      <c r="P50" s="79"/>
      <c r="Q50" s="79"/>
      <c r="R50" s="79"/>
      <c r="S50" s="79"/>
      <c r="T50" s="79"/>
      <c r="U50" s="79"/>
      <c r="V50" s="79"/>
      <c r="W50" s="79"/>
      <c r="X50" s="79"/>
      <c r="Y50" s="79"/>
      <c r="Z50" s="79"/>
    </row>
    <row r="51" spans="1:26" ht="22.5" customHeight="1">
      <c r="A51" s="90"/>
      <c r="B51" s="93" t="s">
        <v>252</v>
      </c>
      <c r="C51" s="90"/>
      <c r="D51" s="109"/>
      <c r="E51" s="88"/>
      <c r="F51" s="109"/>
      <c r="G51" s="88"/>
      <c r="H51" s="92"/>
      <c r="I51" s="79"/>
      <c r="J51" s="79"/>
      <c r="K51" s="79"/>
      <c r="L51" s="79"/>
      <c r="M51" s="79"/>
      <c r="N51" s="79"/>
      <c r="O51" s="79"/>
      <c r="P51" s="79"/>
      <c r="Q51" s="79"/>
      <c r="R51" s="79"/>
      <c r="S51" s="79"/>
      <c r="T51" s="79"/>
      <c r="U51" s="79"/>
      <c r="V51" s="79"/>
      <c r="W51" s="79"/>
      <c r="X51" s="79"/>
      <c r="Y51" s="79"/>
      <c r="Z51" s="79"/>
    </row>
    <row r="52" spans="1:26" ht="48.75" customHeight="1">
      <c r="A52" s="88">
        <v>6</v>
      </c>
      <c r="B52" s="102" t="s">
        <v>253</v>
      </c>
      <c r="C52" s="104"/>
      <c r="D52" s="113"/>
      <c r="E52" s="105"/>
      <c r="F52" s="114"/>
      <c r="G52" s="101"/>
      <c r="H52" s="106"/>
      <c r="I52" s="79"/>
      <c r="J52" s="79"/>
      <c r="K52" s="79"/>
      <c r="L52" s="79"/>
      <c r="M52" s="79"/>
      <c r="N52" s="79"/>
      <c r="O52" s="79"/>
      <c r="P52" s="79"/>
      <c r="Q52" s="79"/>
      <c r="R52" s="79"/>
      <c r="S52" s="79"/>
      <c r="T52" s="79"/>
      <c r="U52" s="79"/>
      <c r="V52" s="79"/>
      <c r="W52" s="79"/>
      <c r="X52" s="79"/>
      <c r="Y52" s="79"/>
      <c r="Z52" s="79"/>
    </row>
    <row r="53" spans="1:26" ht="36" customHeight="1">
      <c r="A53" s="88"/>
      <c r="B53" s="115" t="s">
        <v>254</v>
      </c>
      <c r="C53" s="104"/>
      <c r="D53" s="112"/>
      <c r="E53" s="105"/>
      <c r="F53" s="109"/>
      <c r="G53" s="101"/>
      <c r="H53" s="106"/>
      <c r="I53" s="79"/>
      <c r="J53" s="79"/>
      <c r="K53" s="79"/>
      <c r="L53" s="79"/>
      <c r="M53" s="79"/>
      <c r="N53" s="79"/>
      <c r="O53" s="79"/>
      <c r="P53" s="79"/>
      <c r="Q53" s="79"/>
      <c r="R53" s="79"/>
      <c r="S53" s="79"/>
      <c r="T53" s="79"/>
      <c r="U53" s="79"/>
      <c r="V53" s="79"/>
      <c r="W53" s="79"/>
      <c r="X53" s="79"/>
      <c r="Y53" s="79"/>
      <c r="Z53" s="79"/>
    </row>
    <row r="54" spans="1:26" ht="57.75" customHeight="1">
      <c r="A54" s="88">
        <v>7</v>
      </c>
      <c r="B54" s="116" t="s">
        <v>255</v>
      </c>
      <c r="C54" s="90"/>
      <c r="D54" s="117"/>
      <c r="E54" s="118"/>
      <c r="F54" s="119"/>
      <c r="G54" s="120"/>
      <c r="H54" s="121"/>
      <c r="I54" s="79"/>
      <c r="J54" s="79"/>
      <c r="K54" s="79"/>
      <c r="L54" s="79"/>
      <c r="M54" s="79"/>
      <c r="N54" s="79"/>
      <c r="O54" s="79"/>
      <c r="P54" s="79"/>
      <c r="Q54" s="79"/>
      <c r="R54" s="79"/>
      <c r="S54" s="79"/>
      <c r="T54" s="79"/>
      <c r="U54" s="79"/>
      <c r="V54" s="79"/>
      <c r="W54" s="79"/>
      <c r="X54" s="79"/>
      <c r="Y54" s="79"/>
      <c r="Z54" s="79"/>
    </row>
    <row r="55" spans="1:26" ht="37.5">
      <c r="A55" s="122" t="s">
        <v>256</v>
      </c>
      <c r="B55" s="97" t="s">
        <v>257</v>
      </c>
      <c r="C55" s="86">
        <v>200</v>
      </c>
      <c r="D55" s="123"/>
      <c r="E55" s="86">
        <f>E56+E61+E64-E57-E58+E59+E60+E62+E63+E65-E66-E67</f>
        <v>0</v>
      </c>
      <c r="F55" s="123"/>
      <c r="G55" s="86">
        <f>G56+G61+G64-G57-G58+G59+G60+G62+G63+G65-G66-G67</f>
        <v>0</v>
      </c>
      <c r="H55" s="92"/>
      <c r="I55" s="79"/>
      <c r="J55" s="79"/>
      <c r="K55" s="79"/>
      <c r="L55" s="79"/>
      <c r="M55" s="79"/>
      <c r="N55" s="79"/>
      <c r="O55" s="79"/>
      <c r="P55" s="79"/>
      <c r="Q55" s="79"/>
      <c r="R55" s="79"/>
      <c r="S55" s="79"/>
      <c r="T55" s="79"/>
      <c r="U55" s="79"/>
      <c r="V55" s="79"/>
      <c r="W55" s="79"/>
      <c r="X55" s="79"/>
      <c r="Y55" s="79"/>
      <c r="Z55" s="79"/>
    </row>
    <row r="56" spans="1:26" ht="55.5" customHeight="1">
      <c r="A56" s="124">
        <v>1</v>
      </c>
      <c r="B56" s="89" t="s">
        <v>258</v>
      </c>
      <c r="C56" s="108"/>
      <c r="D56" s="123"/>
      <c r="E56" s="91"/>
      <c r="F56" s="123"/>
      <c r="G56" s="92"/>
      <c r="H56" s="92"/>
      <c r="I56" s="79"/>
      <c r="J56" s="79"/>
      <c r="K56" s="79"/>
      <c r="L56" s="79"/>
      <c r="M56" s="79"/>
      <c r="N56" s="79"/>
      <c r="O56" s="79"/>
      <c r="P56" s="79"/>
      <c r="Q56" s="79"/>
      <c r="R56" s="79"/>
      <c r="S56" s="79"/>
      <c r="T56" s="79"/>
      <c r="U56" s="79"/>
      <c r="V56" s="79"/>
      <c r="W56" s="79"/>
      <c r="X56" s="79"/>
      <c r="Y56" s="79"/>
      <c r="Z56" s="79"/>
    </row>
    <row r="57" spans="1:26" ht="34.5" customHeight="1">
      <c r="A57" s="123"/>
      <c r="B57" s="93" t="s">
        <v>259</v>
      </c>
      <c r="C57" s="108"/>
      <c r="D57" s="125"/>
      <c r="E57" s="88"/>
      <c r="F57" s="125"/>
      <c r="G57" s="88"/>
      <c r="H57" s="92"/>
      <c r="I57" s="79"/>
      <c r="J57" s="79"/>
      <c r="K57" s="79"/>
      <c r="L57" s="79"/>
      <c r="M57" s="79"/>
      <c r="N57" s="79"/>
      <c r="O57" s="79"/>
      <c r="P57" s="79"/>
      <c r="Q57" s="79"/>
      <c r="R57" s="79"/>
      <c r="S57" s="79"/>
      <c r="T57" s="79"/>
      <c r="U57" s="79"/>
      <c r="V57" s="79"/>
      <c r="W57" s="79"/>
      <c r="X57" s="79"/>
      <c r="Y57" s="79"/>
      <c r="Z57" s="79"/>
    </row>
    <row r="58" spans="1:26" ht="34.5" customHeight="1">
      <c r="A58" s="123"/>
      <c r="B58" s="93" t="s">
        <v>260</v>
      </c>
      <c r="C58" s="108"/>
      <c r="D58" s="125"/>
      <c r="E58" s="88"/>
      <c r="F58" s="125"/>
      <c r="G58" s="88"/>
      <c r="H58" s="126" t="s">
        <v>261</v>
      </c>
      <c r="I58" s="79"/>
      <c r="J58" s="79"/>
      <c r="K58" s="79"/>
      <c r="L58" s="79"/>
      <c r="M58" s="79"/>
      <c r="N58" s="79"/>
      <c r="O58" s="79"/>
      <c r="P58" s="79"/>
      <c r="Q58" s="79"/>
      <c r="R58" s="79"/>
      <c r="S58" s="79"/>
      <c r="T58" s="79"/>
      <c r="U58" s="79"/>
      <c r="V58" s="79"/>
      <c r="W58" s="79"/>
      <c r="X58" s="79"/>
      <c r="Y58" s="79"/>
      <c r="Z58" s="79"/>
    </row>
    <row r="59" spans="1:26" ht="33" customHeight="1">
      <c r="A59" s="123"/>
      <c r="B59" s="93" t="s">
        <v>262</v>
      </c>
      <c r="C59" s="108"/>
      <c r="D59" s="125"/>
      <c r="E59" s="88"/>
      <c r="F59" s="125"/>
      <c r="G59" s="88"/>
      <c r="H59" s="126" t="s">
        <v>263</v>
      </c>
      <c r="I59" s="79"/>
      <c r="J59" s="79"/>
      <c r="K59" s="79"/>
      <c r="L59" s="79"/>
      <c r="M59" s="79"/>
      <c r="N59" s="79"/>
      <c r="O59" s="79"/>
      <c r="P59" s="79"/>
      <c r="Q59" s="79"/>
      <c r="R59" s="79"/>
      <c r="S59" s="79"/>
      <c r="T59" s="79"/>
      <c r="U59" s="79"/>
      <c r="V59" s="79"/>
      <c r="W59" s="79"/>
      <c r="X59" s="79"/>
      <c r="Y59" s="79"/>
      <c r="Z59" s="79"/>
    </row>
    <row r="60" spans="1:26" ht="33.75" customHeight="1">
      <c r="A60" s="123"/>
      <c r="B60" s="93" t="s">
        <v>264</v>
      </c>
      <c r="C60" s="108"/>
      <c r="D60" s="125"/>
      <c r="E60" s="88"/>
      <c r="F60" s="125"/>
      <c r="G60" s="88"/>
      <c r="H60" s="92"/>
      <c r="I60" s="79"/>
      <c r="J60" s="79"/>
      <c r="K60" s="79"/>
      <c r="L60" s="79"/>
      <c r="M60" s="79"/>
      <c r="N60" s="79"/>
      <c r="O60" s="79"/>
      <c r="P60" s="79"/>
      <c r="Q60" s="79"/>
      <c r="R60" s="79"/>
      <c r="S60" s="79"/>
      <c r="T60" s="79"/>
      <c r="U60" s="79"/>
      <c r="V60" s="79"/>
      <c r="W60" s="79"/>
      <c r="X60" s="79"/>
      <c r="Y60" s="79"/>
      <c r="Z60" s="79"/>
    </row>
    <row r="61" spans="1:26" ht="78.75">
      <c r="A61" s="124">
        <v>2</v>
      </c>
      <c r="B61" s="127" t="s">
        <v>265</v>
      </c>
      <c r="C61" s="108"/>
      <c r="D61" s="128"/>
      <c r="E61" s="88"/>
      <c r="F61" s="128"/>
      <c r="G61" s="88"/>
      <c r="H61" s="95" t="s">
        <v>266</v>
      </c>
      <c r="I61" s="79"/>
      <c r="J61" s="79"/>
      <c r="K61" s="79"/>
      <c r="L61" s="79"/>
      <c r="M61" s="79"/>
      <c r="N61" s="79"/>
      <c r="O61" s="79"/>
      <c r="P61" s="79"/>
      <c r="Q61" s="79"/>
      <c r="R61" s="79"/>
      <c r="S61" s="79"/>
      <c r="T61" s="79"/>
      <c r="U61" s="79"/>
      <c r="V61" s="79"/>
      <c r="W61" s="79"/>
      <c r="X61" s="79"/>
      <c r="Y61" s="79"/>
      <c r="Z61" s="79"/>
    </row>
    <row r="62" spans="1:26" ht="44.25" customHeight="1">
      <c r="A62" s="123"/>
      <c r="B62" s="93" t="s">
        <v>267</v>
      </c>
      <c r="C62" s="129"/>
      <c r="D62" s="125"/>
      <c r="E62" s="88"/>
      <c r="F62" s="125"/>
      <c r="G62" s="88"/>
      <c r="H62" s="92"/>
      <c r="I62" s="79"/>
      <c r="J62" s="79"/>
      <c r="K62" s="79"/>
      <c r="L62" s="79"/>
      <c r="M62" s="79"/>
      <c r="N62" s="79"/>
      <c r="O62" s="79"/>
      <c r="P62" s="79"/>
      <c r="Q62" s="79"/>
      <c r="R62" s="79"/>
      <c r="S62" s="79"/>
      <c r="T62" s="79"/>
      <c r="U62" s="79"/>
      <c r="V62" s="79"/>
      <c r="W62" s="79"/>
      <c r="X62" s="79"/>
      <c r="Y62" s="79"/>
      <c r="Z62" s="79"/>
    </row>
    <row r="63" spans="1:26" ht="64.5" customHeight="1">
      <c r="A63" s="123"/>
      <c r="B63" s="93" t="s">
        <v>268</v>
      </c>
      <c r="C63" s="129"/>
      <c r="D63" s="125"/>
      <c r="E63" s="88"/>
      <c r="F63" s="125"/>
      <c r="G63" s="88"/>
      <c r="H63" s="95" t="s">
        <v>269</v>
      </c>
      <c r="I63" s="79"/>
      <c r="J63" s="79"/>
      <c r="K63" s="79"/>
      <c r="L63" s="79"/>
      <c r="M63" s="79"/>
      <c r="N63" s="79"/>
      <c r="O63" s="79"/>
      <c r="P63" s="79"/>
      <c r="Q63" s="79"/>
      <c r="R63" s="79"/>
      <c r="S63" s="79"/>
      <c r="T63" s="79"/>
      <c r="U63" s="79"/>
      <c r="V63" s="79"/>
      <c r="W63" s="79"/>
      <c r="X63" s="79"/>
      <c r="Y63" s="79"/>
      <c r="Z63" s="79"/>
    </row>
    <row r="64" spans="1:26" ht="35.25" customHeight="1">
      <c r="A64" s="124">
        <v>3</v>
      </c>
      <c r="B64" s="89" t="s">
        <v>270</v>
      </c>
      <c r="C64" s="130"/>
      <c r="D64" s="123"/>
      <c r="E64" s="92"/>
      <c r="F64" s="123"/>
      <c r="G64" s="92"/>
      <c r="H64" s="95" t="s">
        <v>271</v>
      </c>
      <c r="I64" s="79"/>
      <c r="J64" s="79"/>
      <c r="K64" s="79"/>
      <c r="L64" s="79"/>
      <c r="M64" s="79"/>
      <c r="N64" s="79"/>
      <c r="O64" s="79"/>
      <c r="P64" s="79"/>
      <c r="Q64" s="79"/>
      <c r="R64" s="79"/>
      <c r="S64" s="79"/>
      <c r="T64" s="79"/>
      <c r="U64" s="79"/>
      <c r="V64" s="79"/>
      <c r="W64" s="79"/>
      <c r="X64" s="79"/>
      <c r="Y64" s="79"/>
      <c r="Z64" s="79"/>
    </row>
    <row r="65" spans="1:26" ht="33" customHeight="1">
      <c r="A65" s="123"/>
      <c r="B65" s="131" t="s">
        <v>272</v>
      </c>
      <c r="C65" s="113"/>
      <c r="D65" s="132"/>
      <c r="E65" s="120">
        <v>0</v>
      </c>
      <c r="F65" s="132"/>
      <c r="G65" s="120">
        <v>0</v>
      </c>
      <c r="H65" s="133"/>
      <c r="I65" s="79"/>
      <c r="J65" s="79"/>
      <c r="K65" s="79"/>
      <c r="L65" s="79"/>
      <c r="M65" s="79"/>
      <c r="N65" s="79"/>
      <c r="O65" s="79"/>
      <c r="P65" s="79"/>
      <c r="Q65" s="79"/>
      <c r="R65" s="79"/>
      <c r="S65" s="79"/>
      <c r="T65" s="79"/>
      <c r="U65" s="79"/>
      <c r="V65" s="79"/>
      <c r="W65" s="79"/>
      <c r="X65" s="79"/>
      <c r="Y65" s="79"/>
      <c r="Z65" s="79"/>
    </row>
    <row r="66" spans="1:26" ht="31.5">
      <c r="A66" s="123"/>
      <c r="B66" s="131" t="s">
        <v>273</v>
      </c>
      <c r="C66" s="113"/>
      <c r="D66" s="132"/>
      <c r="E66" s="120">
        <v>0</v>
      </c>
      <c r="F66" s="132"/>
      <c r="G66" s="120">
        <v>0</v>
      </c>
      <c r="H66" s="133"/>
      <c r="I66" s="79"/>
      <c r="J66" s="79"/>
      <c r="K66" s="79"/>
      <c r="L66" s="79"/>
      <c r="M66" s="79"/>
      <c r="N66" s="79"/>
      <c r="O66" s="79"/>
      <c r="P66" s="79"/>
      <c r="Q66" s="79"/>
      <c r="R66" s="79"/>
      <c r="S66" s="79"/>
      <c r="T66" s="79"/>
      <c r="U66" s="79"/>
      <c r="V66" s="79"/>
      <c r="W66" s="79"/>
      <c r="X66" s="79"/>
      <c r="Y66" s="79"/>
      <c r="Z66" s="79"/>
    </row>
    <row r="67" spans="1:26" ht="31.5">
      <c r="A67" s="123"/>
      <c r="B67" s="131" t="s">
        <v>274</v>
      </c>
      <c r="C67" s="113"/>
      <c r="D67" s="132"/>
      <c r="E67" s="120">
        <v>0</v>
      </c>
      <c r="F67" s="132"/>
      <c r="G67" s="120">
        <v>0</v>
      </c>
      <c r="H67" s="133"/>
      <c r="I67" s="79"/>
      <c r="J67" s="79"/>
      <c r="K67" s="79"/>
      <c r="L67" s="79"/>
      <c r="M67" s="79"/>
      <c r="N67" s="79"/>
      <c r="O67" s="79"/>
      <c r="P67" s="79"/>
      <c r="Q67" s="79"/>
      <c r="R67" s="79"/>
      <c r="S67" s="79"/>
      <c r="T67" s="79"/>
      <c r="U67" s="79"/>
      <c r="V67" s="79"/>
      <c r="W67" s="79"/>
      <c r="X67" s="79"/>
      <c r="Y67" s="79"/>
      <c r="Z67" s="79"/>
    </row>
    <row r="68" spans="1:26" ht="33.75" customHeight="1">
      <c r="A68" s="122" t="s">
        <v>275</v>
      </c>
      <c r="B68" s="134" t="s">
        <v>276</v>
      </c>
      <c r="C68" s="135">
        <v>100</v>
      </c>
      <c r="D68" s="136"/>
      <c r="E68" s="137">
        <f>E69+E70+E71+E72+E73-E74</f>
        <v>0</v>
      </c>
      <c r="F68" s="136"/>
      <c r="G68" s="137">
        <f>G69+G70+G71+G72+G73-G74</f>
        <v>0</v>
      </c>
      <c r="H68" s="138"/>
      <c r="I68" s="79"/>
      <c r="J68" s="79"/>
      <c r="K68" s="79"/>
      <c r="L68" s="79"/>
      <c r="M68" s="79"/>
      <c r="N68" s="79"/>
      <c r="O68" s="79"/>
      <c r="P68" s="79"/>
      <c r="Q68" s="79"/>
      <c r="R68" s="79"/>
      <c r="S68" s="79"/>
      <c r="T68" s="79"/>
      <c r="U68" s="79"/>
      <c r="V68" s="79"/>
      <c r="W68" s="79"/>
      <c r="X68" s="79"/>
      <c r="Y68" s="79"/>
      <c r="Z68" s="79"/>
    </row>
    <row r="69" spans="1:26" ht="63" customHeight="1">
      <c r="A69" s="139">
        <v>1</v>
      </c>
      <c r="B69" s="127" t="s">
        <v>277</v>
      </c>
      <c r="C69" s="104"/>
      <c r="D69" s="125"/>
      <c r="E69" s="140"/>
      <c r="F69" s="125"/>
      <c r="G69" s="140"/>
      <c r="H69" s="141"/>
      <c r="I69" s="79"/>
      <c r="J69" s="79"/>
      <c r="K69" s="79"/>
      <c r="L69" s="79"/>
      <c r="M69" s="79"/>
      <c r="N69" s="79"/>
      <c r="O69" s="79"/>
      <c r="P69" s="79"/>
      <c r="Q69" s="79"/>
      <c r="R69" s="79"/>
      <c r="S69" s="79"/>
      <c r="T69" s="79"/>
      <c r="U69" s="79"/>
      <c r="V69" s="79"/>
      <c r="W69" s="79"/>
      <c r="X69" s="79"/>
      <c r="Y69" s="79"/>
      <c r="Z69" s="79"/>
    </row>
    <row r="70" spans="1:26" ht="79.5" customHeight="1">
      <c r="A70" s="142"/>
      <c r="B70" s="143" t="s">
        <v>278</v>
      </c>
      <c r="C70" s="104"/>
      <c r="D70" s="144"/>
      <c r="E70" s="138"/>
      <c r="F70" s="144"/>
      <c r="G70" s="138"/>
      <c r="H70" s="138"/>
      <c r="I70" s="79"/>
      <c r="J70" s="79"/>
      <c r="K70" s="79"/>
      <c r="L70" s="79"/>
      <c r="M70" s="79"/>
      <c r="N70" s="79"/>
      <c r="O70" s="79"/>
      <c r="P70" s="79"/>
      <c r="Q70" s="79"/>
      <c r="R70" s="79"/>
      <c r="S70" s="79"/>
      <c r="T70" s="79"/>
      <c r="U70" s="79"/>
      <c r="V70" s="79"/>
      <c r="W70" s="79"/>
      <c r="X70" s="79"/>
      <c r="Y70" s="79"/>
      <c r="Z70" s="79"/>
    </row>
    <row r="71" spans="1:26" ht="92.25" customHeight="1">
      <c r="A71" s="142"/>
      <c r="B71" s="143" t="s">
        <v>279</v>
      </c>
      <c r="C71" s="104"/>
      <c r="D71" s="125"/>
      <c r="E71" s="140"/>
      <c r="F71" s="125"/>
      <c r="G71" s="140"/>
      <c r="H71" s="280" t="s">
        <v>280</v>
      </c>
      <c r="I71" s="79"/>
      <c r="J71" s="79"/>
      <c r="K71" s="79"/>
      <c r="L71" s="79"/>
      <c r="M71" s="79"/>
      <c r="N71" s="79"/>
      <c r="O71" s="79"/>
      <c r="P71" s="79"/>
      <c r="Q71" s="79"/>
      <c r="R71" s="79"/>
      <c r="S71" s="79"/>
      <c r="T71" s="79"/>
      <c r="U71" s="79"/>
      <c r="V71" s="79"/>
      <c r="W71" s="79"/>
      <c r="X71" s="79"/>
      <c r="Y71" s="79"/>
      <c r="Z71" s="79"/>
    </row>
    <row r="72" spans="1:26" ht="49.5" customHeight="1">
      <c r="A72" s="142"/>
      <c r="B72" s="143" t="s">
        <v>281</v>
      </c>
      <c r="C72" s="104"/>
      <c r="D72" s="144"/>
      <c r="E72" s="138"/>
      <c r="F72" s="144"/>
      <c r="G72" s="138"/>
      <c r="H72" s="138"/>
      <c r="I72" s="79"/>
      <c r="J72" s="79"/>
      <c r="K72" s="79"/>
      <c r="L72" s="79"/>
      <c r="M72" s="79"/>
      <c r="N72" s="79"/>
      <c r="O72" s="79"/>
      <c r="P72" s="79"/>
      <c r="Q72" s="79"/>
      <c r="R72" s="79"/>
      <c r="S72" s="79"/>
      <c r="T72" s="79"/>
      <c r="U72" s="79"/>
      <c r="V72" s="79"/>
      <c r="W72" s="79"/>
      <c r="X72" s="79"/>
      <c r="Y72" s="79"/>
      <c r="Z72" s="79"/>
    </row>
    <row r="73" spans="1:26" ht="40.5" customHeight="1">
      <c r="A73" s="139">
        <v>2</v>
      </c>
      <c r="B73" s="127" t="s">
        <v>282</v>
      </c>
      <c r="C73" s="104"/>
      <c r="D73" s="144"/>
      <c r="E73" s="138"/>
      <c r="F73" s="144"/>
      <c r="G73" s="138"/>
      <c r="H73" s="138"/>
      <c r="I73" s="79"/>
      <c r="J73" s="79"/>
      <c r="K73" s="79"/>
      <c r="L73" s="79"/>
      <c r="M73" s="79"/>
      <c r="N73" s="79"/>
      <c r="O73" s="79"/>
      <c r="P73" s="79"/>
      <c r="Q73" s="79"/>
      <c r="R73" s="79"/>
      <c r="S73" s="79"/>
      <c r="T73" s="79"/>
      <c r="U73" s="79"/>
      <c r="V73" s="79"/>
      <c r="W73" s="79"/>
      <c r="X73" s="79"/>
      <c r="Y73" s="79"/>
      <c r="Z73" s="79"/>
    </row>
    <row r="74" spans="1:26" ht="78.75">
      <c r="A74" s="142"/>
      <c r="B74" s="143" t="s">
        <v>283</v>
      </c>
      <c r="C74" s="104"/>
      <c r="D74" s="144"/>
      <c r="E74" s="138"/>
      <c r="F74" s="144"/>
      <c r="G74" s="138"/>
      <c r="H74" s="138"/>
      <c r="I74" s="79"/>
      <c r="J74" s="79"/>
      <c r="K74" s="79"/>
      <c r="L74" s="79"/>
      <c r="M74" s="79"/>
      <c r="N74" s="79"/>
      <c r="O74" s="79"/>
      <c r="P74" s="79"/>
      <c r="Q74" s="79"/>
      <c r="R74" s="79"/>
      <c r="S74" s="79"/>
      <c r="T74" s="79"/>
      <c r="U74" s="79"/>
      <c r="V74" s="79"/>
      <c r="W74" s="79"/>
      <c r="X74" s="79"/>
      <c r="Y74" s="79"/>
      <c r="Z74" s="79"/>
    </row>
    <row r="75" spans="1:26" ht="18.75">
      <c r="A75" s="123"/>
      <c r="B75" s="89" t="s">
        <v>89</v>
      </c>
      <c r="C75" s="86">
        <f>C6+C17+C31+C55+C68</f>
        <v>1000</v>
      </c>
      <c r="D75" s="123"/>
      <c r="E75" s="86">
        <f>SUM(E6+E17+E31+E55)</f>
        <v>0</v>
      </c>
      <c r="F75" s="123"/>
      <c r="G75" s="86">
        <f>SUM(G6+G17+G31+G55)</f>
        <v>0</v>
      </c>
      <c r="H75" s="92"/>
      <c r="I75" s="79"/>
      <c r="J75" s="79"/>
      <c r="K75" s="79"/>
      <c r="L75" s="79"/>
      <c r="M75" s="79"/>
      <c r="N75" s="79"/>
      <c r="O75" s="79"/>
      <c r="P75" s="79"/>
      <c r="Q75" s="79"/>
      <c r="R75" s="79"/>
      <c r="S75" s="79"/>
      <c r="T75" s="79"/>
      <c r="U75" s="79"/>
      <c r="V75" s="79"/>
      <c r="W75" s="79"/>
      <c r="X75" s="79"/>
      <c r="Y75" s="79"/>
      <c r="Z75" s="79"/>
    </row>
    <row r="76" spans="1:26" ht="18">
      <c r="A76" s="145"/>
      <c r="B76" s="146"/>
      <c r="C76" s="145"/>
      <c r="D76" s="145"/>
      <c r="E76" s="147"/>
      <c r="F76" s="145"/>
      <c r="G76" s="147"/>
      <c r="H76" s="148"/>
      <c r="I76" s="79"/>
      <c r="J76" s="79"/>
      <c r="K76" s="79"/>
      <c r="L76" s="79"/>
      <c r="M76" s="79"/>
      <c r="N76" s="79"/>
      <c r="O76" s="79"/>
      <c r="P76" s="79"/>
      <c r="Q76" s="79"/>
      <c r="R76" s="79"/>
      <c r="S76" s="79"/>
      <c r="T76" s="79"/>
      <c r="U76" s="79"/>
      <c r="V76" s="79"/>
      <c r="W76" s="79"/>
      <c r="X76" s="79"/>
      <c r="Y76" s="79"/>
      <c r="Z76" s="79"/>
    </row>
    <row r="77" spans="1:26" ht="15.75">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spans="1:26" ht="15.75">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spans="1:26" ht="15.75">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spans="1:26" ht="15.75">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spans="1:26" ht="15.75">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spans="1:26" ht="15.75">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spans="1:26" ht="15.75">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spans="1:26" ht="15.75">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spans="1:26" ht="15.7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spans="1:26" ht="15.75">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spans="1:26" ht="15.75">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spans="1:26" ht="15.75">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spans="1:26" ht="15.75">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spans="1:26" ht="15.75">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spans="1:26" ht="15.75">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spans="1:26" ht="15.75">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spans="1:26" ht="15.75">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spans="1:26" ht="15.75">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spans="1:26" ht="15.7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spans="1:26" ht="15.75">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spans="1:26" ht="15.75">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spans="1:26" ht="15.75">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spans="1:26" ht="15.75">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spans="1:26" ht="15.75">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spans="1:26" ht="15.75">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spans="1:26" ht="15.75">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spans="1:26" ht="15.75">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spans="1:26" ht="15.75">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spans="1:26" ht="15.7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spans="1:26" ht="15.75">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spans="1:26" ht="15.75">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spans="1:26" ht="15.75">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spans="1:26" ht="15.75">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spans="1:26" ht="15.75">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spans="1:26" ht="15.75">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spans="1:26" ht="15.75">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spans="1:26" ht="15.75">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spans="1:26" ht="15.75">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spans="1:26" ht="15.7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spans="1:26" ht="15.75">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spans="1:26" ht="15.75">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spans="1:26" ht="15.75">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spans="1:26" ht="15.75">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spans="1:26" ht="15.75">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spans="1:26" ht="15.75">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spans="1:26" ht="15.75">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spans="1:26" ht="15.75">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spans="1:26" ht="15.75">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spans="1:26" ht="15.7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spans="1:26" ht="15.75">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spans="1:26" ht="15.75">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spans="1:26" ht="15.75">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spans="1:26" ht="15.75">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spans="1:26" ht="15.75">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spans="1:26" ht="15.75">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spans="1:26" ht="15.75">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spans="1:26" ht="15.75">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spans="1:26" ht="15.75">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spans="1:26" ht="15.7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spans="1:26" ht="15.75">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spans="1:26" ht="15.75">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spans="1:26" ht="15.75">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spans="1:26" ht="15.75">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spans="1:26" ht="15.75">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spans="1:26" ht="15.75">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spans="1:26" ht="15.75">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spans="1:26" ht="15.75">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spans="1:26" ht="15.75">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spans="1:26" ht="15.7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spans="1:26" ht="15.75">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spans="1:26" ht="15.75">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spans="1:26" ht="15.75">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spans="1:26" ht="15.75">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spans="1:26" ht="15.75">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spans="1:26" ht="15.75">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spans="1:26" ht="15.75">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spans="1:26" ht="15.75">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spans="1:26" ht="15.75">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spans="1:26" ht="15.7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spans="1:26" ht="15.75">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spans="1:26" ht="15.75">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spans="1:26" ht="15.75">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spans="1:26" ht="15.75">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spans="1:26" ht="15.75">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spans="1:26" ht="15.75">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spans="1:26" ht="15.75">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spans="1:26" ht="15.75">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spans="1:26" ht="15.75">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spans="1:26" ht="15.7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spans="1:26" ht="15.75">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spans="1:26" ht="15.75">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spans="1:26" ht="15.75">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spans="1:26" ht="15.75">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spans="1:26" ht="15.75">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spans="1:26" ht="15.75">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spans="1:26" ht="15.75">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spans="1:26" ht="15.75">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spans="1:26" ht="15.75">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spans="1:26" ht="15.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spans="1:26" ht="15.75">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spans="1:26" ht="15.75">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spans="1:26" ht="15.75">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spans="1:26" ht="15.75">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spans="1:26" ht="15.75">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spans="1:26" ht="15.75">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spans="1:26" ht="15.75">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spans="1:26" ht="15.75">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spans="1:26" ht="15.75">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spans="1:26" ht="15.7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spans="1:26" ht="15.75">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spans="1:26" ht="15.75">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spans="1:26" ht="15.75">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spans="1:26" ht="15.75">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spans="1:26" ht="15.75">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spans="1:26" ht="15.75">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spans="1:26" ht="15.75">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spans="1:26" ht="15.75">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spans="1:26" ht="15.75">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spans="1:26" ht="15.7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spans="1:26" ht="15.75">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spans="1:26" ht="15.75">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spans="1:26" ht="15.75">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spans="1:26" ht="15.75">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spans="1:26" ht="15.75">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spans="1:26" ht="15.75">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spans="1:26" ht="15.75">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spans="1:26" ht="15.75">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spans="1:26" ht="15.75">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spans="1:26" ht="15.7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spans="1:26" ht="15.75">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spans="1:26" ht="15.75">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spans="1:26" ht="15.75">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spans="1:26" ht="15.75">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spans="1:26" ht="15.75">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spans="1:26" ht="15.75">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spans="1:26" ht="15.75">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spans="1:26" ht="15.75">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spans="1:26" ht="15.75">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spans="1:26" ht="15.7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spans="1:26" ht="15.75">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spans="1:26" ht="15.75">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spans="1:26" ht="15.75">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spans="1:26" ht="15.75">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spans="1:26" ht="15.75">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spans="1:26" ht="15.75">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spans="1:26" ht="15.75">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spans="1:26" ht="15.75">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spans="1:26" ht="15.75">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spans="1:26" ht="15.7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spans="1:26" ht="15.75">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spans="1:26" ht="15.75">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spans="1:26" ht="15.75">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spans="1:26" ht="15.75">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spans="1:26" ht="15.75">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spans="1:26" ht="15.75">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spans="1:26" ht="15.75">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spans="1:26" ht="15.75">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spans="1:26" ht="15.75">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spans="1:26" ht="15.7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spans="1:26" ht="15.75">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spans="1:26" ht="15.75">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spans="1:26" ht="15.75">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spans="1:26" ht="15.75">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spans="1:26" ht="15.75">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spans="1:26" ht="15.75">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spans="1:26" ht="15.75">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spans="1:26" ht="15.75">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spans="1:26" ht="15.75">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spans="1:26" ht="15.7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spans="1:26" ht="15.75">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spans="1:26" ht="15.75">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spans="1:26" ht="15.75">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spans="1:26" ht="15.75">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spans="1:26" ht="15.75">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spans="1:26" ht="15.75">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spans="1:26" ht="15.75">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spans="1:26" ht="15.75">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spans="1:26" ht="15.75">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spans="1:26" ht="15.7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spans="1:26" ht="15.75">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spans="1:26" ht="15.75">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spans="1:26" ht="15.75">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spans="1:26" ht="15.75">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spans="1:26" ht="15.75">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spans="1:26" ht="15.75">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spans="1:26" ht="15.75">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spans="1:26" ht="15.75">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spans="1:26" ht="15.75">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spans="1:26" ht="15.7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spans="1:26" ht="15.75">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spans="1:26" ht="15.75">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spans="1:26" ht="15.75">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spans="1:26" ht="15.75">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spans="1:26" ht="15.75">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spans="1:26" ht="15.75">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spans="1:26" ht="15.75">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spans="1:26" ht="15.75">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spans="1:26" ht="15.75">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spans="1:26" ht="15.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spans="1:26" ht="15.75">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spans="1:26" ht="15.75">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spans="1:26" ht="15.75">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spans="1:26" ht="15.75">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spans="1:26" ht="15.75">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spans="1:26" ht="15.75">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spans="1:26" ht="15.75">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spans="1:26" ht="15.75">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spans="1:26" ht="15.75">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spans="1:26" ht="15.7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spans="1:26" ht="15.75">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spans="1:26" ht="15.75">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spans="1:26" ht="15.75">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spans="1:26" ht="15.75">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spans="1:26" ht="15.75">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spans="1:26" ht="15.75">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spans="1:26" ht="15.75">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spans="1:26" ht="15.75">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spans="1:26" ht="15.75">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spans="1:26" ht="15.7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spans="1:26" ht="15.75">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spans="1:26" ht="15.75">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spans="1:26" ht="15.75">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spans="1:26" ht="15.75">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spans="1:26" ht="15.75">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spans="1:26" ht="15.75">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spans="1:26" ht="15.75">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spans="1:26" ht="15.75">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spans="1:26" ht="15.75">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spans="1:26" ht="15.7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spans="1:26" ht="15.75">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spans="1:26" ht="15.75">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spans="1:26" ht="15.75">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spans="1:26" ht="15.75">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spans="1:26" ht="15.75">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spans="1:26" ht="15.75">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spans="1:26" ht="15.75">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spans="1:26" ht="15.75">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spans="1:26" ht="15.75">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spans="1:26" ht="15.7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spans="1:26" ht="15.75">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spans="1:26" ht="15.75">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spans="1:26" ht="15.75">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spans="1:26" ht="15.75">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spans="1:26" ht="15.75">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spans="1:26" ht="15.75">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spans="1:26" ht="15.75">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spans="1:26" ht="15.75">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spans="1:26" ht="15.75">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spans="1:26" ht="15.7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spans="1:26" ht="15.75">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spans="1:26" ht="15.75">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spans="1:26" ht="15.75">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spans="1:26" ht="15.75">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spans="1:26" ht="15.75">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spans="1:26" ht="15.75">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spans="1:26" ht="15.75">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spans="1:26" ht="15.75">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spans="1:26" ht="15.75">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spans="1:26" ht="15.7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spans="1:26" ht="15.75">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spans="1:26" ht="15.75">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spans="1:26" ht="15.75">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spans="1:26" ht="15.75">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spans="1:26" ht="15.75">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spans="1:26" ht="15.75">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spans="1:26" ht="15.75">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spans="1:26" ht="15.75">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spans="1:26" ht="15.75">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spans="1:26" ht="15.7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spans="1:26" ht="15.75">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spans="1:26" ht="15.75">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spans="1:26" ht="15.75">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spans="1:26" ht="15.75">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spans="1:26" ht="15.75">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spans="1:26" ht="15.75">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spans="1:26" ht="15.75">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spans="1:26" ht="15.75">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spans="1:26" ht="15.75">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spans="1:26" ht="15.7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spans="1:26" ht="15.75">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spans="1:26" ht="15.75">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spans="1:26" ht="15.75">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spans="1:26" ht="15.75">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spans="1:26" ht="15.75">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spans="1:26" ht="15.75">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spans="1:26" ht="15.75">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spans="1:26" ht="15.75">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spans="1:26" ht="15.75">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spans="1:26" ht="15.7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spans="1:26" ht="15.75">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spans="1:26" ht="15.75">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spans="1:26" ht="15.75">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spans="1:26" ht="15.75">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spans="1:26" ht="15.75">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spans="1:26" ht="15.75">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spans="1:26" ht="15.75">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spans="1:26" ht="15.75">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spans="1:26" ht="15.75">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spans="1:26" ht="15.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spans="1:26" ht="15.75">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spans="1:26" ht="15.75">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spans="1:26" ht="15.75">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spans="1:26" ht="15.75">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spans="1:26" ht="15.75">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spans="1:26" ht="15.75">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spans="1:26" ht="15.75">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spans="1:26" ht="15.75">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spans="1:26" ht="15.75">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spans="1:26" ht="15.7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spans="1:26" ht="15.75">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spans="1:26" ht="15.75">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spans="1:26" ht="15.75">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spans="1:26" ht="15.75">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spans="1:26" ht="15.75">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spans="1:26" ht="15.75">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spans="1:26" ht="15.75">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spans="1:26" ht="15.75">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spans="1:26" ht="15.75">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spans="1:26" ht="15.7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spans="1:26" ht="15.75">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spans="1:26" ht="15.75">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spans="1:26" ht="15.75">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spans="1:26" ht="15.75">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spans="1:26" ht="15.75">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spans="1:26" ht="15.75">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spans="1:26" ht="15.75">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spans="1:26" ht="15.75">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spans="1:26" ht="15.75">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spans="1:26" ht="15.7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spans="1:26" ht="15.75">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spans="1:26" ht="15.75">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spans="1:26" ht="15.75">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spans="1:26" ht="15.75">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spans="1:26" ht="15.75">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spans="1:26" ht="15.75">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spans="1:26" ht="15.75">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spans="1:26" ht="15.75">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spans="1:26" ht="15.75">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spans="1:26" ht="15.7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spans="1:26" ht="15.75">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spans="1:26" ht="15.75">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spans="1:26" ht="15.75">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spans="1:26" ht="15.75">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spans="1:26" ht="15.75">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spans="1:26" ht="15.75">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spans="1:26" ht="15.75">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spans="1:26" ht="15.75">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spans="1:26" ht="15.75">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spans="1:26" ht="15.7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spans="1:26" ht="15.75">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spans="1:26" ht="15.75">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spans="1:26" ht="15.75">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spans="1:26" ht="15.75">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spans="1:26" ht="15.75">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spans="1:26" ht="15.75">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spans="1:26" ht="15.75">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spans="1:26" ht="15.75">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spans="1:26" ht="15.75">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spans="1:26" ht="15.7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spans="1:26" ht="15.75">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spans="1:26" ht="15.75">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spans="1:26" ht="15.75">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spans="1:26" ht="15.75">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spans="1:26" ht="15.75">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spans="1:26" ht="15.75">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spans="1:26" ht="15.75">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spans="1:26" ht="15.75">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spans="1:26" ht="15.75">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spans="1:26" ht="15.7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spans="1:26" ht="15.75">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spans="1:26" ht="15.75">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spans="1:26" ht="15.75">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spans="1:26" ht="15.75">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spans="1:26" ht="15.75">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spans="1:26" ht="15.75">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spans="1:26" ht="15.75">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spans="1:26" ht="15.75">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spans="1:26" ht="15.75">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spans="1:26" ht="15.7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spans="1:26" ht="15.75">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spans="1:26" ht="15.75">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spans="1:26" ht="15.75">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spans="1:26" ht="15.75">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spans="1:26" ht="15.75">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spans="1:26" ht="15.75">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spans="1:26" ht="15.75">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spans="1:26" ht="15.75">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spans="1:26" ht="15.75">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spans="1:26" ht="15.7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spans="1:26" ht="15.75">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spans="1:26" ht="15.75">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spans="1:26" ht="15.75">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spans="1:26" ht="15.75">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spans="1:26" ht="15.75">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spans="1:26" ht="15.75">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spans="1:26" ht="15.75">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spans="1:26" ht="15.75">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spans="1:26" ht="15.75">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spans="1:26" ht="15.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spans="1:26" ht="15.75">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spans="1:26" ht="15.75">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spans="1:26" ht="15.75">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spans="1:26" ht="15.75">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spans="1:26" ht="15.75">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spans="1:26" ht="15.75">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spans="1:26" ht="15.75">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spans="1:26" ht="15.75">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spans="1:26" ht="15.75">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spans="1:26" ht="15.7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spans="1:26" ht="15.75">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spans="1:26" ht="15.75">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spans="1:26" ht="15.75">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spans="1:26" ht="15.75">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spans="1:26" ht="15.75">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spans="1:26" ht="15.75">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spans="1:26" ht="15.75">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spans="1:26" ht="15.75">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spans="1:26" ht="15.75">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spans="1:26" ht="15.7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spans="1:26" ht="15.75">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spans="1:26" ht="15.75">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spans="1:26" ht="15.75">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spans="1:26" ht="15.75">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spans="1:26" ht="15.75">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spans="1:26" ht="15.75">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spans="1:26" ht="15.75">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spans="1:26" ht="15.75">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spans="1:26" ht="15.75">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spans="1:26" ht="15.7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spans="1:26" ht="15.75">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spans="1:26" ht="15.75">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spans="1:26" ht="15.75">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spans="1:26" ht="15.75">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spans="1:26" ht="15.75">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spans="1:26" ht="15.75">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spans="1:26" ht="15.75">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spans="1:26" ht="15.75">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spans="1:26" ht="15.75">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spans="1:26" ht="15.7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spans="1:26" ht="15.75">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spans="1:26" ht="15.75">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spans="1:26" ht="15.75">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spans="1:26" ht="15.75">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spans="1:26" ht="15.75">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spans="1:26" ht="15.75">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spans="1:26" ht="15.75">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spans="1:26" ht="15.75">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spans="1:26" ht="15.75">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spans="1:26" ht="15.7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spans="1:26" ht="15.75">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spans="1:26" ht="15.75">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spans="1:26" ht="15.75">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spans="1:26" ht="15.75">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spans="1:26" ht="15.75">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spans="1:26" ht="15.75">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spans="1:26" ht="15.75">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spans="1:26" ht="15.75">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spans="1:26" ht="15.75">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spans="1:26" ht="15.7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spans="1:26" ht="15.75">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spans="1:26" ht="15.75">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spans="1:26" ht="15.75">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spans="1:26" ht="15.75">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spans="1:26" ht="15.75">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spans="1:26" ht="15.75">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spans="1:26" ht="15.75">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spans="1:26" ht="15.75">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spans="1:26" ht="15.75">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spans="1:26" ht="15.7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spans="1:26" ht="15.75">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spans="1:26" ht="15.75">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spans="1:26" ht="15.75">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spans="1:26" ht="15.75">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spans="1:26" ht="15.75">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spans="1:26" ht="15.75">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spans="1:26" ht="15.75">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spans="1:26" ht="15.75">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spans="1:26" ht="15.75">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spans="1:26" ht="15.7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spans="1:26" ht="15.75">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spans="1:26" ht="15.75">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spans="1:26" ht="15.75">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spans="1:26" ht="15.75">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spans="1:26" ht="15.75">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spans="1:26" ht="15.75">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spans="1:26" ht="15.75">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spans="1:26" ht="15.75">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spans="1:26" ht="15.75">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spans="1:26" ht="15.7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spans="1:26" ht="15.75">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spans="1:26" ht="15.75">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spans="1:26" ht="15.75">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spans="1:26" ht="15.75">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spans="1:26" ht="15.75">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spans="1:26" ht="15.75">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spans="1:26" ht="15.75">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spans="1:26" ht="15.75">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spans="1:26" ht="15.75">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spans="1:26" ht="1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spans="1:26" ht="15.75">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spans="1:26" ht="15.75">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spans="1:26" ht="15.75">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spans="1:26" ht="15.75">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spans="1:26" ht="15.75">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spans="1:26" ht="15.75">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spans="1:26" ht="15.75">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spans="1:26" ht="15.75">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spans="1:26" ht="15.75">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spans="1:26" ht="15.7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spans="1:26" ht="15.75">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spans="1:26" ht="15.75">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spans="1:26" ht="15.75">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spans="1:26" ht="15.75">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spans="1:26" ht="15.75">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spans="1:26" ht="15.75">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spans="1:26" ht="15.75">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spans="1:26" ht="15.75">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spans="1:26" ht="15.75">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spans="1:26" ht="15.7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spans="1:26" ht="15.75">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spans="1:26" ht="15.75">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spans="1:26" ht="15.75">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spans="1:26" ht="15.75">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spans="1:26" ht="15.75">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spans="1:26" ht="15.75">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spans="1:26" ht="15.75">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spans="1:26" ht="15.75">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spans="1:26" ht="15.75">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spans="1:26" ht="15.7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spans="1:26" ht="15.75">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spans="1:26" ht="15.75">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spans="1:26" ht="15.75">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spans="1:26" ht="15.75">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spans="1:26" ht="15.75">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spans="1:26" ht="15.75">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spans="1:26" ht="15.75">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spans="1:26" ht="15.75">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spans="1:26" ht="15.75">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spans="1:26" ht="15.7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spans="1:26" ht="15.75">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spans="1:26" ht="15.75">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spans="1:26" ht="15.75">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spans="1:26" ht="15.75">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spans="1:26" ht="15.75">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spans="1:26" ht="15.75">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spans="1:26" ht="15.75">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spans="1:26" ht="15.75">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spans="1:26" ht="15.75">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spans="1:26" ht="15.7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spans="1:26" ht="15.75">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spans="1:26" ht="15.75">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spans="1:26" ht="15.75">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spans="1:26" ht="15.75">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spans="1:26" ht="15.75">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spans="1:26" ht="15.75">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spans="1:26" ht="15.75">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spans="1:26" ht="15.75">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spans="1:26" ht="15.75">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spans="1:26" ht="15.7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spans="1:26" ht="15.75">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spans="1:26" ht="15.75">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spans="1:26" ht="15.75">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spans="1:26" ht="15.75">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spans="1:26" ht="15.75">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spans="1:26" ht="15.75">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spans="1:26" ht="15.75">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spans="1:26" ht="15.75">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spans="1:26" ht="15.75">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spans="1:26" ht="15.7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spans="1:26" ht="15.75">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spans="1:26" ht="15.75">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spans="1:26" ht="15.75">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spans="1:26" ht="15.75">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spans="1:26" ht="15.75">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spans="1:26" ht="15.75">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spans="1:26" ht="15.75">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spans="1:26" ht="15.75">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spans="1:26" ht="15.75">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spans="1:26" ht="15.7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spans="1:26" ht="15.75">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spans="1:26" ht="15.75">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spans="1:26" ht="15.75">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spans="1:26" ht="15.75">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spans="1:26" ht="15.75">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spans="1:26" ht="15.75">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spans="1:26" ht="15.75">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spans="1:26" ht="15.75">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spans="1:26" ht="15.75">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spans="1:26" ht="15.7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spans="1:26" ht="15.75">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spans="1:26" ht="15.75">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spans="1:26" ht="15.75">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spans="1:26" ht="15.75">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spans="1:26" ht="15.75">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spans="1:26" ht="15.75">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spans="1:26" ht="15.75">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spans="1:26" ht="15.75">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spans="1:26" ht="15.75">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spans="1:26" ht="15.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spans="1:26" ht="15.75">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spans="1:26" ht="15.75">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spans="1:26" ht="15.75">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spans="1:26" ht="15.75">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spans="1:26" ht="15.75">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spans="1:26" ht="15.75">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spans="1:26" ht="15.75">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spans="1:26" ht="15.75">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spans="1:26" ht="15.75">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spans="1:26" ht="15.7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spans="1:26" ht="15.75">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spans="1:26" ht="15.75">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spans="1:26" ht="15.75">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spans="1:26" ht="15.75">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spans="1:26" ht="15.75">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spans="1:26" ht="15.75">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spans="1:26" ht="15.75">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spans="1:26" ht="15.75">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spans="1:26" ht="15.75">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spans="1:26" ht="15.7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spans="1:26" ht="15.75">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spans="1:26" ht="15.75">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spans="1:26" ht="15.75">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spans="1:26" ht="15.75">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spans="1:26" ht="15.75">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spans="1:26" ht="15.75">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spans="1:26" ht="15.75">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spans="1:26" ht="15.75">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spans="1:26" ht="15.75">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spans="1:26" ht="15.7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spans="1:26" ht="15.75">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spans="1:26" ht="15.75">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spans="1:26" ht="15.75">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spans="1:26" ht="15.75">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spans="1:26" ht="15.75">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spans="1:26" ht="15.75">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spans="1:26" ht="15.75">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spans="1:26" ht="15.75">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spans="1:26" ht="15.75">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spans="1:26" ht="15.7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spans="1:26" ht="15.75">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spans="1:26" ht="15.75">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spans="1:26" ht="15.75">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spans="1:26" ht="15.75">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spans="1:26" ht="15.75">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spans="1:26" ht="15.75">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spans="1:26" ht="15.75">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spans="1:26" ht="15.75">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spans="1:26" ht="15.75">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spans="1:26" ht="15.7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spans="1:26" ht="15.75">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spans="1:26" ht="15.75">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spans="1:26" ht="15.75">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spans="1:26" ht="15.75">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spans="1:26" ht="15.75">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spans="1:26" ht="15.75">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spans="1:26" ht="15.75">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spans="1:26" ht="15.75">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spans="1:26" ht="15.75">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spans="1:26" ht="15.7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spans="1:26" ht="15.75">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spans="1:26" ht="15.75">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spans="1:26" ht="15.75">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spans="1:26" ht="15.75">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spans="1:26" ht="15.75">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spans="1:26" ht="15.75">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spans="1:26" ht="15.75">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spans="1:26" ht="15.75">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spans="1:26" ht="15.75">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spans="1:26" ht="15.7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spans="1:26" ht="15.75">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spans="1:26" ht="15.75">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spans="1:26" ht="15.75">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spans="1:26" ht="15.75">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spans="1:26" ht="15.75">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spans="1:26" ht="15.75">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spans="1:26" ht="15.75">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spans="1:26" ht="15.75">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spans="1:26" ht="15.75">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spans="1:26" ht="15.7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spans="1:26" ht="15.75">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spans="1:26" ht="15.75">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spans="1:26" ht="15.75">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spans="1:26" ht="15.75">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spans="1:26" ht="15.75">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spans="1:26" ht="15.75">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spans="1:26" ht="15.75">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spans="1:26" ht="15.75">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spans="1:26" ht="15.75">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spans="1:26" ht="15.7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spans="1:26" ht="15.75">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spans="1:26" ht="15.75">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spans="1:26" ht="15.75">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spans="1:26" ht="15.75">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spans="1:26" ht="15.75">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spans="1:26" ht="15.75">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spans="1:26" ht="15.75">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spans="1:26" ht="15.75">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spans="1:26" ht="15.75">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spans="1:26" ht="15.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spans="1:26" ht="15.75">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spans="1:26" ht="15.75">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spans="1:26" ht="15.75">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spans="1:26" ht="15.75">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spans="1:26" ht="15.75">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spans="1:26" ht="15.75">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spans="1:26" ht="15.75">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spans="1:26" ht="15.75">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spans="1:26" ht="15.75">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spans="1:26" ht="15.7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spans="1:26" ht="15.75">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spans="1:26" ht="15.75">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spans="1:26" ht="15.75">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spans="1:26" ht="15.75">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spans="1:26" ht="15.75">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spans="1:26" ht="15.75">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spans="1:26" ht="15.75">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spans="1:26" ht="15.75">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spans="1:26" ht="15.75">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spans="1:26" ht="15.7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spans="1:26" ht="15.75">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spans="1:26" ht="15.75">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spans="1:26" ht="15.75">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spans="1:26" ht="15.75">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spans="1:26" ht="15.75">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spans="1:26" ht="15.75">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spans="1:26" ht="15.75">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spans="1:26" ht="15.75">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spans="1:26" ht="15.75">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spans="1:26" ht="15.7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spans="1:26" ht="15.75">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spans="1:26" ht="15.75">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spans="1:26" ht="15.75">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spans="1:26" ht="15.75">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spans="1:26" ht="15.75">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spans="1:26" ht="15.75">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spans="1:26" ht="15.75">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spans="1:26" ht="15.75">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spans="1:26" ht="15.75">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spans="1:26" ht="15.7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spans="1:26" ht="15.75">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spans="1:26" ht="15.75">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spans="1:26" ht="15.75">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spans="1:26" ht="15.75">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spans="1:26" ht="15.75">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spans="1:26" ht="15.75">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spans="1:26" ht="15.75">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spans="1:26" ht="15.75">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spans="1:26" ht="15.75">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spans="1:26" ht="15.7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spans="1:26" ht="15.75">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spans="1:26" ht="15.75">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spans="1:26" ht="15.75">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spans="1:26" ht="15.75">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spans="1:26" ht="15.75">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spans="1:26" ht="15.75">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spans="1:26" ht="15.75">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spans="1:26" ht="15.75">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spans="1:26" ht="15.75">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spans="1:26" ht="15.7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spans="1:26" ht="15.75">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spans="1:26" ht="15.75">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spans="1:26" ht="15.75">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spans="1:26" ht="15.75">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spans="1:26" ht="15.75">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spans="1:26" ht="15.75">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spans="1:26" ht="15.75">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spans="1:26" ht="15.75">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spans="1:26" ht="15.75">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spans="1:26" ht="15.7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spans="1:26" ht="15.75">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spans="1:26" ht="15.75">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spans="1:26" ht="15.75">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spans="1:26" ht="15.75">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spans="1:26" ht="15.75">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spans="1:26" ht="15.75">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spans="1:26" ht="15.75">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spans="1:26" ht="15.75">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spans="1:26" ht="15.75">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spans="1:26" ht="15.7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spans="1:26" ht="15.75">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spans="1:26" ht="15.75">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spans="1:26" ht="15.75">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spans="1:26" ht="15.75">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spans="1:26" ht="15.75">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spans="1:26" ht="15.75">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spans="1:26" ht="15.75">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spans="1:26" ht="15.75">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spans="1:26" ht="15.75">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spans="1:26" ht="15.7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spans="1:26" ht="15.75">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spans="1:26" ht="15.75">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spans="1:26" ht="15.75">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spans="1:26" ht="15.75">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spans="1:26" ht="15.75">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spans="1:26" ht="15.75">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spans="1:26" ht="15.75">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spans="1:26" ht="15.75">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spans="1:26" ht="15.75">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spans="1:26" ht="15.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spans="1:26" ht="15.75">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spans="1:26" ht="15.75">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spans="1:26" ht="15.75">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spans="1:26" ht="15.75">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spans="1:26" ht="15.75">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spans="1:26" ht="15.75">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spans="1:26" ht="15.75">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spans="1:26" ht="15.75">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spans="1:26" ht="15.75">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spans="1:26" ht="15.7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spans="1:26" ht="15.75">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spans="1:26" ht="15.75">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spans="1:26" ht="15.75">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spans="1:26" ht="15.75">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spans="1:26" ht="15.75">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spans="1:26" ht="15.75">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spans="1:26" ht="15.75">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spans="1:26" ht="15.75">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spans="1:26" ht="15.75">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spans="1:26" ht="15.7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spans="1:26" ht="15.75">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spans="1:26" ht="15.75">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spans="1:26" ht="15.75">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spans="1:26" ht="15.75">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spans="1:26" ht="15.75">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spans="1:26" ht="15.75">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spans="1:26" ht="15.75">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spans="1:26" ht="15.75">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spans="1:26" ht="15.75">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spans="1:26" ht="15.7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spans="1:26" ht="15.75">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spans="1:26" ht="15.75">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spans="1:26" ht="15.75">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spans="1:26" ht="15.75">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spans="1:26" ht="15.75">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spans="1:26" ht="15.75">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spans="1:26" ht="15.75">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spans="1:26" ht="15.75">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spans="1:26" ht="15.75">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spans="1:26" ht="15.7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spans="1:26" ht="15.75">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spans="1:26" ht="15.75">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spans="1:26" ht="15.75">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spans="1:26" ht="15.75">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spans="1:26" ht="15.75">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spans="1:26" ht="15.75">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spans="1:26" ht="15.75">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spans="1:26" ht="15.75">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spans="1:26" ht="15.75">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spans="1:26" ht="15.7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spans="1:26" ht="15.75">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spans="1:26" ht="15.75">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spans="1:26" ht="15.75">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spans="1:26" ht="15.75">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spans="1:26" ht="15.75">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spans="1:26" ht="15.75">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spans="1:26" ht="15.75">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spans="1:26" ht="15.75">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spans="1:26" ht="15.75">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spans="1:26" ht="15.7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spans="1:26" ht="15.75">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spans="1:26" ht="15.75">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spans="1:26" ht="15.75">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spans="1:26" ht="15.75">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spans="1:26" ht="15.75">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spans="1:26" ht="15.75">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spans="1:26" ht="15.75">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spans="1:26" ht="15.75">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spans="1:26" ht="15.75">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spans="1:26" ht="15.7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spans="1:26" ht="15.75">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spans="1:26" ht="15.75">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spans="1:26" ht="15.75">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spans="1:26" ht="15.75">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spans="1:26" ht="15.75">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spans="1:26" ht="15.75">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spans="1:26" ht="15.75">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spans="1:26" ht="15.75">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spans="1:26" ht="15.75">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spans="1:26" ht="15.7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spans="1:26" ht="15.75">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spans="1:26" ht="15.75">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spans="1:26" ht="15.75">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spans="1:26" ht="15.75">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spans="1:26" ht="15.75">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spans="1:26" ht="15.75">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spans="1:26" ht="15.75">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spans="1:26" ht="15.75">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spans="1:26" ht="15.75">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spans="1:26" ht="15.7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spans="1:26" ht="15.75">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spans="1:26" ht="15.75">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spans="1:26" ht="15.75">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spans="1:26" ht="15.75">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spans="1:26" ht="15.75">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spans="1:26" ht="15.75">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spans="1:26" ht="15.75">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spans="1:26" ht="15.75">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spans="1:26" ht="15.75">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spans="1:26" ht="15.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spans="1:26" ht="15.75">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spans="1:26" ht="15.75">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spans="1:26" ht="15.75">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spans="1:26" ht="15.75">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spans="1:26" ht="15.75">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spans="1:26" ht="15.75">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spans="1:26" ht="15.75">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spans="1:26" ht="15.75">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spans="1:26" ht="15.75">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spans="1:26" ht="15.7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spans="1:26" ht="15.75">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spans="1:26" ht="15.75">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spans="1:26" ht="15.75">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spans="1:26" ht="15.75">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spans="1:26" ht="15.75">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spans="1:26" ht="15.75">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spans="1:26" ht="15.75">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spans="1:26" ht="15.75">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spans="1:26" ht="15.75">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spans="1:26" ht="15.7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spans="1:26" ht="15.75">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spans="1:26" ht="15.75">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spans="1:26" ht="15.75">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spans="1:26" ht="15.75">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spans="1:26" ht="15.75">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spans="1:26" ht="15.75">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spans="1:26" ht="15.75">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row r="1003" spans="1:26" ht="15.75">
      <c r="A1003" s="79"/>
      <c r="B1003" s="79"/>
      <c r="C1003" s="79"/>
      <c r="D1003" s="79"/>
      <c r="E1003" s="79"/>
      <c r="F1003" s="79"/>
      <c r="G1003" s="79"/>
      <c r="H1003" s="79"/>
      <c r="I1003" s="79"/>
      <c r="J1003" s="79"/>
      <c r="K1003" s="79"/>
      <c r="L1003" s="79"/>
      <c r="M1003" s="79"/>
      <c r="N1003" s="79"/>
      <c r="O1003" s="79"/>
      <c r="P1003" s="79"/>
      <c r="Q1003" s="79"/>
      <c r="R1003" s="79"/>
      <c r="S1003" s="79"/>
      <c r="T1003" s="79"/>
      <c r="U1003" s="79"/>
      <c r="V1003" s="79"/>
      <c r="W1003" s="79"/>
      <c r="X1003" s="79"/>
      <c r="Y1003" s="79"/>
      <c r="Z1003" s="79"/>
    </row>
    <row r="1004" spans="1:26" ht="15.75">
      <c r="A1004" s="79"/>
      <c r="B1004" s="79"/>
      <c r="C1004" s="79"/>
      <c r="D1004" s="79"/>
      <c r="E1004" s="79"/>
      <c r="F1004" s="79"/>
      <c r="G1004" s="79"/>
      <c r="H1004" s="79"/>
      <c r="I1004" s="79"/>
      <c r="J1004" s="79"/>
      <c r="K1004" s="79"/>
      <c r="L1004" s="79"/>
      <c r="M1004" s="79"/>
      <c r="N1004" s="79"/>
      <c r="O1004" s="79"/>
      <c r="P1004" s="79"/>
      <c r="Q1004" s="79"/>
      <c r="R1004" s="79"/>
      <c r="S1004" s="79"/>
      <c r="T1004" s="79"/>
      <c r="U1004" s="79"/>
      <c r="V1004" s="79"/>
      <c r="W1004" s="79"/>
      <c r="X1004" s="79"/>
      <c r="Y1004" s="79"/>
      <c r="Z1004" s="79"/>
    </row>
    <row r="1005" spans="1:26" ht="15.75">
      <c r="A1005" s="79"/>
      <c r="B1005" s="79"/>
      <c r="C1005" s="79"/>
      <c r="D1005" s="79"/>
      <c r="E1005" s="79"/>
      <c r="F1005" s="79"/>
      <c r="G1005" s="79"/>
      <c r="H1005" s="79"/>
      <c r="I1005" s="79"/>
      <c r="J1005" s="79"/>
      <c r="K1005" s="79"/>
      <c r="L1005" s="79"/>
      <c r="M1005" s="79"/>
      <c r="N1005" s="79"/>
      <c r="O1005" s="79"/>
      <c r="P1005" s="79"/>
      <c r="Q1005" s="79"/>
      <c r="R1005" s="79"/>
      <c r="S1005" s="79"/>
      <c r="T1005" s="79"/>
      <c r="U1005" s="79"/>
      <c r="V1005" s="79"/>
      <c r="W1005" s="79"/>
      <c r="X1005" s="79"/>
      <c r="Y1005" s="79"/>
      <c r="Z1005" s="79"/>
    </row>
    <row r="1006" spans="1:26" ht="15.75">
      <c r="A1006" s="79"/>
      <c r="B1006" s="79"/>
      <c r="C1006" s="79"/>
      <c r="D1006" s="79"/>
      <c r="E1006" s="79"/>
      <c r="F1006" s="79"/>
      <c r="G1006" s="79"/>
      <c r="H1006" s="79"/>
      <c r="I1006" s="79"/>
      <c r="J1006" s="79"/>
      <c r="K1006" s="79"/>
      <c r="L1006" s="79"/>
      <c r="M1006" s="79"/>
      <c r="N1006" s="79"/>
      <c r="O1006" s="79"/>
      <c r="P1006" s="79"/>
      <c r="Q1006" s="79"/>
      <c r="R1006" s="79"/>
      <c r="S1006" s="79"/>
      <c r="T1006" s="79"/>
      <c r="U1006" s="79"/>
      <c r="V1006" s="79"/>
      <c r="W1006" s="79"/>
      <c r="X1006" s="79"/>
      <c r="Y1006" s="79"/>
      <c r="Z1006" s="79"/>
    </row>
    <row r="1007" spans="1:26" ht="15.75">
      <c r="A1007" s="79"/>
      <c r="B1007" s="79"/>
      <c r="C1007" s="79"/>
      <c r="D1007" s="79"/>
      <c r="E1007" s="79"/>
      <c r="F1007" s="79"/>
      <c r="G1007" s="79"/>
      <c r="H1007" s="79"/>
      <c r="I1007" s="79"/>
      <c r="J1007" s="79"/>
      <c r="K1007" s="79"/>
      <c r="L1007" s="79"/>
      <c r="M1007" s="79"/>
      <c r="N1007" s="79"/>
      <c r="O1007" s="79"/>
      <c r="P1007" s="79"/>
      <c r="Q1007" s="79"/>
      <c r="R1007" s="79"/>
      <c r="S1007" s="79"/>
      <c r="T1007" s="79"/>
      <c r="U1007" s="79"/>
      <c r="V1007" s="79"/>
      <c r="W1007" s="79"/>
      <c r="X1007" s="79"/>
      <c r="Y1007" s="79"/>
      <c r="Z1007" s="79"/>
    </row>
    <row r="1008" spans="1:26" ht="15.75">
      <c r="A1008" s="79"/>
      <c r="B1008" s="79"/>
      <c r="C1008" s="79"/>
      <c r="D1008" s="79"/>
      <c r="E1008" s="79"/>
      <c r="F1008" s="79"/>
      <c r="G1008" s="79"/>
      <c r="H1008" s="79"/>
      <c r="I1008" s="79"/>
      <c r="J1008" s="79"/>
      <c r="K1008" s="79"/>
      <c r="L1008" s="79"/>
      <c r="M1008" s="79"/>
      <c r="N1008" s="79"/>
      <c r="O1008" s="79"/>
      <c r="P1008" s="79"/>
      <c r="Q1008" s="79"/>
      <c r="R1008" s="79"/>
      <c r="S1008" s="79"/>
      <c r="T1008" s="79"/>
      <c r="U1008" s="79"/>
      <c r="V1008" s="79"/>
      <c r="W1008" s="79"/>
      <c r="X1008" s="79"/>
      <c r="Y1008" s="79"/>
      <c r="Z1008" s="79"/>
    </row>
    <row r="1009" spans="1:26" ht="15.75">
      <c r="A1009" s="79"/>
      <c r="B1009" s="79"/>
      <c r="C1009" s="79"/>
      <c r="D1009" s="79"/>
      <c r="E1009" s="79"/>
      <c r="F1009" s="79"/>
      <c r="G1009" s="79"/>
      <c r="H1009" s="79"/>
      <c r="I1009" s="79"/>
      <c r="J1009" s="79"/>
      <c r="K1009" s="79"/>
      <c r="L1009" s="79"/>
      <c r="M1009" s="79"/>
      <c r="N1009" s="79"/>
      <c r="O1009" s="79"/>
      <c r="P1009" s="79"/>
      <c r="Q1009" s="79"/>
      <c r="R1009" s="79"/>
      <c r="S1009" s="79"/>
      <c r="T1009" s="79"/>
      <c r="U1009" s="79"/>
      <c r="V1009" s="79"/>
      <c r="W1009" s="79"/>
      <c r="X1009" s="79"/>
      <c r="Y1009" s="79"/>
      <c r="Z1009" s="79"/>
    </row>
    <row r="1010" spans="1:26" ht="15.75">
      <c r="A1010" s="79"/>
      <c r="B1010" s="79"/>
      <c r="C1010" s="79"/>
      <c r="D1010" s="79"/>
      <c r="E1010" s="79"/>
      <c r="F1010" s="79"/>
      <c r="G1010" s="79"/>
      <c r="H1010" s="79"/>
      <c r="I1010" s="79"/>
      <c r="J1010" s="79"/>
      <c r="K1010" s="79"/>
      <c r="L1010" s="79"/>
      <c r="M1010" s="79"/>
      <c r="N1010" s="79"/>
      <c r="O1010" s="79"/>
      <c r="P1010" s="79"/>
      <c r="Q1010" s="79"/>
      <c r="R1010" s="79"/>
      <c r="S1010" s="79"/>
      <c r="T1010" s="79"/>
      <c r="U1010" s="79"/>
      <c r="V1010" s="79"/>
      <c r="W1010" s="79"/>
      <c r="X1010" s="79"/>
      <c r="Y1010" s="79"/>
      <c r="Z1010" s="79"/>
    </row>
    <row r="1011" spans="1:26" ht="15.75">
      <c r="A1011" s="79"/>
      <c r="B1011" s="79"/>
      <c r="C1011" s="79"/>
      <c r="D1011" s="79"/>
      <c r="E1011" s="79"/>
      <c r="F1011" s="79"/>
      <c r="G1011" s="79"/>
      <c r="H1011" s="79"/>
      <c r="I1011" s="79"/>
      <c r="J1011" s="79"/>
      <c r="K1011" s="79"/>
      <c r="L1011" s="79"/>
      <c r="M1011" s="79"/>
      <c r="N1011" s="79"/>
      <c r="O1011" s="79"/>
      <c r="P1011" s="79"/>
      <c r="Q1011" s="79"/>
      <c r="R1011" s="79"/>
      <c r="S1011" s="79"/>
      <c r="T1011" s="79"/>
      <c r="U1011" s="79"/>
      <c r="V1011" s="79"/>
      <c r="W1011" s="79"/>
      <c r="X1011" s="79"/>
      <c r="Y1011" s="79"/>
      <c r="Z1011" s="79"/>
    </row>
    <row r="1012" spans="1:26" ht="15.75">
      <c r="A1012" s="79"/>
      <c r="B1012" s="79"/>
      <c r="C1012" s="79"/>
      <c r="D1012" s="79"/>
      <c r="E1012" s="79"/>
      <c r="F1012" s="79"/>
      <c r="G1012" s="79"/>
      <c r="H1012" s="79"/>
      <c r="I1012" s="79"/>
      <c r="J1012" s="79"/>
      <c r="K1012" s="79"/>
      <c r="L1012" s="79"/>
      <c r="M1012" s="79"/>
      <c r="N1012" s="79"/>
      <c r="O1012" s="79"/>
      <c r="P1012" s="79"/>
      <c r="Q1012" s="79"/>
      <c r="R1012" s="79"/>
      <c r="S1012" s="79"/>
      <c r="T1012" s="79"/>
      <c r="U1012" s="79"/>
      <c r="V1012" s="79"/>
      <c r="W1012" s="79"/>
      <c r="X1012" s="79"/>
      <c r="Y1012" s="79"/>
      <c r="Z1012" s="79"/>
    </row>
    <row r="1013" spans="1:26" ht="15.75">
      <c r="A1013" s="79"/>
      <c r="B1013" s="79"/>
      <c r="C1013" s="79"/>
      <c r="D1013" s="79"/>
      <c r="E1013" s="79"/>
      <c r="F1013" s="79"/>
      <c r="G1013" s="79"/>
      <c r="H1013" s="79"/>
      <c r="I1013" s="79"/>
      <c r="J1013" s="79"/>
      <c r="K1013" s="79"/>
      <c r="L1013" s="79"/>
      <c r="M1013" s="79"/>
      <c r="N1013" s="79"/>
      <c r="O1013" s="79"/>
      <c r="P1013" s="79"/>
      <c r="Q1013" s="79"/>
      <c r="R1013" s="79"/>
      <c r="S1013" s="79"/>
      <c r="T1013" s="79"/>
      <c r="U1013" s="79"/>
      <c r="V1013" s="79"/>
      <c r="W1013" s="79"/>
      <c r="X1013" s="79"/>
      <c r="Y1013" s="79"/>
      <c r="Z1013" s="79"/>
    </row>
  </sheetData>
  <mergeCells count="9">
    <mergeCell ref="F4:G4"/>
    <mergeCell ref="H4:H5"/>
    <mergeCell ref="A1:E1"/>
    <mergeCell ref="A2:E2"/>
    <mergeCell ref="A3:E3"/>
    <mergeCell ref="A4:A5"/>
    <mergeCell ref="B4:B5"/>
    <mergeCell ref="C4:C5"/>
    <mergeCell ref="D4:E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6"/>
  <sheetViews>
    <sheetView workbookViewId="0"/>
  </sheetViews>
  <sheetFormatPr defaultColWidth="11.25" defaultRowHeight="15" customHeight="1"/>
  <cols>
    <col min="1" max="1" width="74.5" customWidth="1"/>
  </cols>
  <sheetData>
    <row r="1" spans="1:26" ht="15.75">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spans="1:26" ht="15.75">
      <c r="A2" s="255"/>
      <c r="B2" s="247"/>
      <c r="C2" s="247"/>
      <c r="D2" s="247"/>
      <c r="E2" s="247"/>
      <c r="F2" s="39"/>
      <c r="G2" s="39"/>
      <c r="H2" s="39"/>
      <c r="I2" s="39"/>
      <c r="J2" s="39"/>
      <c r="K2" s="39"/>
      <c r="L2" s="39"/>
      <c r="M2" s="39"/>
      <c r="N2" s="39"/>
      <c r="O2" s="39"/>
      <c r="P2" s="39"/>
      <c r="Q2" s="39"/>
      <c r="R2" s="39"/>
      <c r="S2" s="39"/>
      <c r="T2" s="39"/>
      <c r="U2" s="39"/>
      <c r="V2" s="39"/>
      <c r="W2" s="39"/>
      <c r="X2" s="39"/>
      <c r="Y2" s="39"/>
      <c r="Z2" s="39"/>
    </row>
    <row r="3" spans="1:26" ht="18.75">
      <c r="A3" s="256" t="s">
        <v>95</v>
      </c>
      <c r="B3" s="247"/>
      <c r="C3" s="247"/>
      <c r="D3" s="247"/>
      <c r="E3" s="247"/>
      <c r="F3" s="39"/>
      <c r="G3" s="39"/>
      <c r="H3" s="39"/>
      <c r="I3" s="39"/>
      <c r="J3" s="39"/>
      <c r="K3" s="39"/>
      <c r="L3" s="39"/>
      <c r="M3" s="39"/>
      <c r="N3" s="39"/>
      <c r="O3" s="39"/>
      <c r="P3" s="39"/>
      <c r="Q3" s="39"/>
      <c r="R3" s="39"/>
      <c r="S3" s="39"/>
      <c r="T3" s="39"/>
      <c r="U3" s="39"/>
      <c r="V3" s="39"/>
      <c r="W3" s="39"/>
      <c r="X3" s="39"/>
      <c r="Y3" s="39"/>
      <c r="Z3" s="39"/>
    </row>
    <row r="4" spans="1:26" ht="18.75">
      <c r="A4" s="256" t="s">
        <v>96</v>
      </c>
      <c r="B4" s="247"/>
      <c r="C4" s="247"/>
      <c r="D4" s="247"/>
      <c r="E4" s="247"/>
      <c r="F4" s="39"/>
      <c r="G4" s="39"/>
      <c r="H4" s="39"/>
      <c r="I4" s="39"/>
      <c r="J4" s="39"/>
      <c r="K4" s="39"/>
      <c r="L4" s="39"/>
      <c r="M4" s="39"/>
      <c r="N4" s="39"/>
      <c r="O4" s="39"/>
      <c r="P4" s="39"/>
      <c r="Q4" s="39"/>
      <c r="R4" s="39"/>
      <c r="S4" s="39"/>
      <c r="T4" s="39"/>
      <c r="U4" s="39"/>
      <c r="V4" s="39"/>
      <c r="W4" s="39"/>
      <c r="X4" s="39"/>
      <c r="Y4" s="39"/>
      <c r="Z4" s="39"/>
    </row>
    <row r="5" spans="1:26" ht="15.75">
      <c r="A5" s="40"/>
      <c r="B5" s="39"/>
      <c r="C5" s="39"/>
      <c r="D5" s="39"/>
      <c r="E5" s="39"/>
      <c r="F5" s="39"/>
      <c r="G5" s="39"/>
      <c r="H5" s="39"/>
      <c r="I5" s="39"/>
      <c r="J5" s="39"/>
      <c r="K5" s="39"/>
      <c r="L5" s="39"/>
      <c r="M5" s="39"/>
      <c r="N5" s="39"/>
      <c r="O5" s="39"/>
      <c r="P5" s="39"/>
      <c r="Q5" s="39"/>
      <c r="R5" s="39"/>
      <c r="S5" s="39"/>
      <c r="T5" s="39"/>
      <c r="U5" s="39"/>
      <c r="V5" s="39"/>
      <c r="W5" s="39"/>
      <c r="X5" s="39"/>
      <c r="Y5" s="39"/>
      <c r="Z5" s="39"/>
    </row>
    <row r="6" spans="1:26" ht="15.75">
      <c r="A6" s="41" t="s">
        <v>3</v>
      </c>
      <c r="B6" s="42"/>
      <c r="C6" s="42"/>
      <c r="D6" s="42"/>
      <c r="E6" s="42"/>
      <c r="F6" s="39"/>
      <c r="G6" s="39"/>
      <c r="H6" s="39"/>
      <c r="I6" s="39"/>
      <c r="J6" s="39"/>
      <c r="K6" s="39"/>
      <c r="L6" s="39"/>
      <c r="M6" s="39"/>
      <c r="N6" s="39"/>
      <c r="O6" s="39"/>
      <c r="P6" s="39"/>
      <c r="Q6" s="39"/>
      <c r="R6" s="39"/>
      <c r="S6" s="39"/>
      <c r="T6" s="39"/>
      <c r="U6" s="39"/>
      <c r="V6" s="39"/>
      <c r="W6" s="39"/>
      <c r="X6" s="39"/>
      <c r="Y6" s="39"/>
      <c r="Z6" s="39"/>
    </row>
    <row r="7" spans="1:26" ht="15.75">
      <c r="A7" s="41" t="s">
        <v>4</v>
      </c>
      <c r="B7" s="42"/>
      <c r="C7" s="42"/>
      <c r="D7" s="42"/>
      <c r="E7" s="42"/>
      <c r="F7" s="39"/>
      <c r="G7" s="39"/>
      <c r="H7" s="39"/>
      <c r="I7" s="39"/>
      <c r="J7" s="39"/>
      <c r="K7" s="39"/>
      <c r="L7" s="39"/>
      <c r="M7" s="39"/>
      <c r="N7" s="39"/>
      <c r="O7" s="39"/>
      <c r="P7" s="39"/>
      <c r="Q7" s="39"/>
      <c r="R7" s="39"/>
      <c r="S7" s="39"/>
      <c r="T7" s="39"/>
      <c r="U7" s="39"/>
      <c r="V7" s="39"/>
      <c r="W7" s="39"/>
      <c r="X7" s="39"/>
      <c r="Y7" s="39"/>
      <c r="Z7" s="39"/>
    </row>
    <row r="8" spans="1:26" ht="15.75">
      <c r="A8" s="41" t="s">
        <v>97</v>
      </c>
      <c r="B8" s="42"/>
      <c r="C8" s="42"/>
      <c r="D8" s="42"/>
      <c r="E8" s="42"/>
      <c r="F8" s="39"/>
      <c r="G8" s="39"/>
      <c r="H8" s="39"/>
      <c r="I8" s="39"/>
      <c r="J8" s="39"/>
      <c r="K8" s="39"/>
      <c r="L8" s="39"/>
      <c r="M8" s="39"/>
      <c r="N8" s="39"/>
      <c r="O8" s="39"/>
      <c r="P8" s="39"/>
      <c r="Q8" s="39"/>
      <c r="R8" s="39"/>
      <c r="S8" s="39"/>
      <c r="T8" s="39"/>
      <c r="U8" s="39"/>
      <c r="V8" s="39"/>
      <c r="W8" s="39"/>
      <c r="X8" s="39"/>
      <c r="Y8" s="39"/>
      <c r="Z8" s="39"/>
    </row>
    <row r="9" spans="1:26" ht="15.75">
      <c r="A9" s="43" t="s">
        <v>6</v>
      </c>
      <c r="B9" s="44"/>
      <c r="C9" s="44"/>
      <c r="D9" s="44"/>
      <c r="E9" s="44"/>
      <c r="F9" s="39"/>
      <c r="G9" s="39"/>
      <c r="H9" s="39"/>
      <c r="I9" s="39"/>
      <c r="J9" s="39"/>
      <c r="K9" s="39"/>
      <c r="L9" s="39"/>
      <c r="M9" s="39"/>
      <c r="N9" s="39"/>
      <c r="O9" s="39"/>
      <c r="P9" s="39"/>
      <c r="Q9" s="39"/>
      <c r="R9" s="39"/>
      <c r="S9" s="39"/>
      <c r="T9" s="39"/>
      <c r="U9" s="39"/>
      <c r="V9" s="39"/>
      <c r="W9" s="39"/>
      <c r="X9" s="39"/>
      <c r="Y9" s="39"/>
      <c r="Z9" s="39"/>
    </row>
    <row r="10" spans="1:26" ht="15.75">
      <c r="A10" s="257" t="s">
        <v>7</v>
      </c>
      <c r="B10" s="45"/>
      <c r="C10" s="259" t="s">
        <v>8</v>
      </c>
      <c r="D10" s="260"/>
      <c r="E10" s="261"/>
      <c r="F10" s="39"/>
      <c r="G10" s="39"/>
      <c r="H10" s="39"/>
      <c r="I10" s="39"/>
      <c r="J10" s="39"/>
      <c r="K10" s="39"/>
      <c r="L10" s="39"/>
      <c r="M10" s="39"/>
      <c r="N10" s="39"/>
      <c r="O10" s="39"/>
      <c r="P10" s="39"/>
      <c r="Q10" s="39"/>
      <c r="R10" s="39"/>
      <c r="S10" s="39"/>
      <c r="T10" s="39"/>
      <c r="U10" s="39"/>
      <c r="V10" s="39"/>
      <c r="W10" s="39"/>
      <c r="X10" s="39"/>
      <c r="Y10" s="39"/>
      <c r="Z10" s="39"/>
    </row>
    <row r="11" spans="1:26" ht="31.5">
      <c r="A11" s="258"/>
      <c r="B11" s="46" t="s">
        <v>9</v>
      </c>
      <c r="C11" s="46" t="s">
        <v>10</v>
      </c>
      <c r="D11" s="46" t="s">
        <v>11</v>
      </c>
      <c r="E11" s="46" t="s">
        <v>12</v>
      </c>
      <c r="F11" s="39"/>
      <c r="G11" s="39"/>
      <c r="H11" s="39"/>
      <c r="I11" s="39"/>
      <c r="J11" s="39"/>
      <c r="K11" s="39"/>
      <c r="L11" s="39"/>
      <c r="M11" s="39"/>
      <c r="N11" s="39"/>
      <c r="O11" s="39"/>
      <c r="P11" s="39"/>
      <c r="Q11" s="39"/>
      <c r="R11" s="39"/>
      <c r="S11" s="39"/>
      <c r="T11" s="39"/>
      <c r="U11" s="39"/>
      <c r="V11" s="39"/>
      <c r="W11" s="39"/>
      <c r="X11" s="39"/>
      <c r="Y11" s="39"/>
      <c r="Z11" s="39"/>
    </row>
    <row r="12" spans="1:26" ht="15.75">
      <c r="A12" s="47" t="s">
        <v>284</v>
      </c>
      <c r="B12" s="48">
        <f>SUM(B14,B20,B26,B31,B35,B40,B44,B47)</f>
        <v>35</v>
      </c>
      <c r="C12" s="49"/>
      <c r="D12" s="49"/>
      <c r="E12" s="49"/>
      <c r="F12" s="39"/>
      <c r="G12" s="39"/>
      <c r="H12" s="39"/>
      <c r="I12" s="39"/>
      <c r="J12" s="39"/>
      <c r="K12" s="39"/>
      <c r="L12" s="39"/>
      <c r="M12" s="39"/>
      <c r="N12" s="39"/>
      <c r="O12" s="39"/>
      <c r="P12" s="39"/>
      <c r="Q12" s="39"/>
      <c r="R12" s="39"/>
      <c r="S12" s="39"/>
      <c r="T12" s="39"/>
      <c r="U12" s="39"/>
      <c r="V12" s="39"/>
      <c r="W12" s="39"/>
      <c r="X12" s="39"/>
      <c r="Y12" s="39"/>
      <c r="Z12" s="39"/>
    </row>
    <row r="13" spans="1:26" ht="31.5">
      <c r="A13" s="50" t="s">
        <v>285</v>
      </c>
      <c r="B13" s="45"/>
      <c r="C13" s="45"/>
      <c r="D13" s="45"/>
      <c r="E13" s="45"/>
      <c r="F13" s="39"/>
      <c r="G13" s="39"/>
      <c r="H13" s="39"/>
      <c r="I13" s="39"/>
      <c r="J13" s="39"/>
      <c r="K13" s="39"/>
      <c r="L13" s="39"/>
      <c r="M13" s="39"/>
      <c r="N13" s="39"/>
      <c r="O13" s="39"/>
      <c r="P13" s="39"/>
      <c r="Q13" s="39"/>
      <c r="R13" s="39"/>
      <c r="S13" s="39"/>
      <c r="T13" s="39"/>
      <c r="U13" s="39"/>
      <c r="V13" s="39"/>
      <c r="W13" s="39"/>
      <c r="X13" s="39"/>
      <c r="Y13" s="39"/>
      <c r="Z13" s="39"/>
    </row>
    <row r="14" spans="1:26" ht="15.75">
      <c r="A14" s="51" t="s">
        <v>14</v>
      </c>
      <c r="B14" s="46">
        <v>7</v>
      </c>
      <c r="C14" s="45"/>
      <c r="D14" s="45"/>
      <c r="E14" s="45"/>
      <c r="F14" s="39"/>
      <c r="G14" s="39"/>
      <c r="H14" s="39"/>
      <c r="I14" s="39"/>
      <c r="J14" s="39"/>
      <c r="K14" s="39"/>
      <c r="L14" s="39"/>
      <c r="M14" s="39"/>
      <c r="N14" s="39"/>
      <c r="O14" s="39"/>
      <c r="P14" s="39"/>
      <c r="Q14" s="39"/>
      <c r="R14" s="39"/>
      <c r="S14" s="39"/>
      <c r="T14" s="39"/>
      <c r="U14" s="39"/>
      <c r="V14" s="39"/>
      <c r="W14" s="39"/>
      <c r="X14" s="39"/>
      <c r="Y14" s="39"/>
      <c r="Z14" s="39"/>
    </row>
    <row r="15" spans="1:26" ht="15.75">
      <c r="A15" s="52" t="s">
        <v>100</v>
      </c>
      <c r="B15" s="53">
        <v>4</v>
      </c>
      <c r="C15" s="45"/>
      <c r="D15" s="45"/>
      <c r="E15" s="45"/>
      <c r="F15" s="39"/>
      <c r="G15" s="39"/>
      <c r="H15" s="39"/>
      <c r="I15" s="39"/>
      <c r="J15" s="39"/>
      <c r="K15" s="39"/>
      <c r="L15" s="39"/>
      <c r="M15" s="39"/>
      <c r="N15" s="39"/>
      <c r="O15" s="39"/>
      <c r="P15" s="39"/>
      <c r="Q15" s="39"/>
      <c r="R15" s="39"/>
      <c r="S15" s="39"/>
      <c r="T15" s="39"/>
      <c r="U15" s="39"/>
      <c r="V15" s="39"/>
      <c r="W15" s="39"/>
      <c r="X15" s="39"/>
      <c r="Y15" s="39"/>
      <c r="Z15" s="39"/>
    </row>
    <row r="16" spans="1:26" ht="15.75">
      <c r="A16" s="52" t="s">
        <v>101</v>
      </c>
      <c r="B16" s="54">
        <v>2</v>
      </c>
      <c r="C16" s="45"/>
      <c r="D16" s="45"/>
      <c r="E16" s="45"/>
      <c r="F16" s="39"/>
      <c r="G16" s="39"/>
      <c r="H16" s="39"/>
      <c r="I16" s="39"/>
      <c r="J16" s="39"/>
      <c r="K16" s="39"/>
      <c r="L16" s="39"/>
      <c r="M16" s="39"/>
      <c r="N16" s="39"/>
      <c r="O16" s="39"/>
      <c r="P16" s="39"/>
      <c r="Q16" s="39"/>
      <c r="R16" s="39"/>
      <c r="S16" s="39"/>
      <c r="T16" s="39"/>
      <c r="U16" s="39"/>
      <c r="V16" s="39"/>
      <c r="W16" s="39"/>
      <c r="X16" s="39"/>
      <c r="Y16" s="39"/>
      <c r="Z16" s="39"/>
    </row>
    <row r="17" spans="1:26" ht="15.75">
      <c r="A17" s="52" t="s">
        <v>102</v>
      </c>
      <c r="B17" s="54">
        <v>0</v>
      </c>
      <c r="C17" s="45"/>
      <c r="D17" s="45"/>
      <c r="E17" s="45"/>
      <c r="F17" s="39"/>
      <c r="G17" s="39"/>
      <c r="H17" s="39"/>
      <c r="I17" s="39"/>
      <c r="J17" s="39"/>
      <c r="K17" s="39"/>
      <c r="L17" s="39"/>
      <c r="M17" s="39"/>
      <c r="N17" s="39"/>
      <c r="O17" s="39"/>
      <c r="P17" s="39"/>
      <c r="Q17" s="39"/>
      <c r="R17" s="39"/>
      <c r="S17" s="39"/>
      <c r="T17" s="39"/>
      <c r="U17" s="39"/>
      <c r="V17" s="39"/>
      <c r="W17" s="39"/>
      <c r="X17" s="39"/>
      <c r="Y17" s="39"/>
      <c r="Z17" s="39"/>
    </row>
    <row r="18" spans="1:26" ht="15.75">
      <c r="A18" s="51" t="s">
        <v>103</v>
      </c>
      <c r="B18" s="54">
        <v>-5</v>
      </c>
      <c r="C18" s="45"/>
      <c r="D18" s="45"/>
      <c r="E18" s="45"/>
      <c r="F18" s="39"/>
      <c r="G18" s="39"/>
      <c r="H18" s="39"/>
      <c r="I18" s="39"/>
      <c r="J18" s="39"/>
      <c r="K18" s="39"/>
      <c r="L18" s="39"/>
      <c r="M18" s="39"/>
      <c r="N18" s="39"/>
      <c r="O18" s="39"/>
      <c r="P18" s="39"/>
      <c r="Q18" s="39"/>
      <c r="R18" s="39"/>
      <c r="S18" s="39"/>
      <c r="T18" s="39"/>
      <c r="U18" s="39"/>
      <c r="V18" s="39"/>
      <c r="W18" s="39"/>
      <c r="X18" s="39"/>
      <c r="Y18" s="39"/>
      <c r="Z18" s="39"/>
    </row>
    <row r="19" spans="1:26" ht="63">
      <c r="A19" s="50" t="s">
        <v>286</v>
      </c>
      <c r="B19" s="45"/>
      <c r="C19" s="45"/>
      <c r="D19" s="45"/>
      <c r="E19" s="45"/>
      <c r="F19" s="39"/>
      <c r="G19" s="39"/>
      <c r="H19" s="39"/>
      <c r="I19" s="39"/>
      <c r="J19" s="39"/>
      <c r="K19" s="39"/>
      <c r="L19" s="39"/>
      <c r="M19" s="39"/>
      <c r="N19" s="39"/>
      <c r="O19" s="39"/>
      <c r="P19" s="39"/>
      <c r="Q19" s="39"/>
      <c r="R19" s="39"/>
      <c r="S19" s="39"/>
      <c r="T19" s="39"/>
      <c r="U19" s="39"/>
      <c r="V19" s="39"/>
      <c r="W19" s="39"/>
      <c r="X19" s="39"/>
      <c r="Y19" s="39"/>
      <c r="Z19" s="39"/>
    </row>
    <row r="20" spans="1:26" ht="15.75">
      <c r="A20" s="51" t="s">
        <v>20</v>
      </c>
      <c r="B20" s="46">
        <v>5</v>
      </c>
      <c r="C20" s="45"/>
      <c r="D20" s="45"/>
      <c r="E20" s="45"/>
      <c r="F20" s="39"/>
      <c r="G20" s="39"/>
      <c r="H20" s="39"/>
      <c r="I20" s="39"/>
      <c r="J20" s="39"/>
      <c r="K20" s="39"/>
      <c r="L20" s="39"/>
      <c r="M20" s="39"/>
      <c r="N20" s="39"/>
      <c r="O20" s="39"/>
      <c r="P20" s="39"/>
      <c r="Q20" s="39"/>
      <c r="R20" s="39"/>
      <c r="S20" s="39"/>
      <c r="T20" s="39"/>
      <c r="U20" s="39"/>
      <c r="V20" s="39"/>
      <c r="W20" s="39"/>
      <c r="X20" s="39"/>
      <c r="Y20" s="39"/>
      <c r="Z20" s="39"/>
    </row>
    <row r="21" spans="1:26" ht="15.75">
      <c r="A21" s="51" t="s">
        <v>105</v>
      </c>
      <c r="B21" s="54">
        <v>2</v>
      </c>
      <c r="C21" s="45"/>
      <c r="D21" s="45"/>
      <c r="E21" s="45"/>
      <c r="F21" s="39"/>
      <c r="G21" s="39"/>
      <c r="H21" s="39"/>
      <c r="I21" s="39"/>
      <c r="J21" s="39"/>
      <c r="K21" s="39"/>
      <c r="L21" s="39"/>
      <c r="M21" s="39"/>
      <c r="N21" s="39"/>
      <c r="O21" s="39"/>
      <c r="P21" s="39"/>
      <c r="Q21" s="39"/>
      <c r="R21" s="39"/>
      <c r="S21" s="39"/>
      <c r="T21" s="39"/>
      <c r="U21" s="39"/>
      <c r="V21" s="39"/>
      <c r="W21" s="39"/>
      <c r="X21" s="39"/>
      <c r="Y21" s="39"/>
      <c r="Z21" s="39"/>
    </row>
    <row r="22" spans="1:26" ht="15.75">
      <c r="A22" s="51" t="s">
        <v>106</v>
      </c>
      <c r="B22" s="54">
        <v>1</v>
      </c>
      <c r="C22" s="45"/>
      <c r="D22" s="45"/>
      <c r="E22" s="45"/>
      <c r="F22" s="39"/>
      <c r="G22" s="39"/>
      <c r="H22" s="39"/>
      <c r="I22" s="39"/>
      <c r="J22" s="39"/>
      <c r="K22" s="39"/>
      <c r="L22" s="39"/>
      <c r="M22" s="39"/>
      <c r="N22" s="39"/>
      <c r="O22" s="39"/>
      <c r="P22" s="39"/>
      <c r="Q22" s="39"/>
      <c r="R22" s="39"/>
      <c r="S22" s="39"/>
      <c r="T22" s="39"/>
      <c r="U22" s="39"/>
      <c r="V22" s="39"/>
      <c r="W22" s="39"/>
      <c r="X22" s="39"/>
      <c r="Y22" s="39"/>
      <c r="Z22" s="39"/>
    </row>
    <row r="23" spans="1:26" ht="15.75">
      <c r="A23" s="51" t="s">
        <v>107</v>
      </c>
      <c r="B23" s="54">
        <v>0</v>
      </c>
      <c r="C23" s="45"/>
      <c r="D23" s="45"/>
      <c r="E23" s="45"/>
      <c r="F23" s="39"/>
      <c r="G23" s="39"/>
      <c r="H23" s="39"/>
      <c r="I23" s="39"/>
      <c r="J23" s="39"/>
      <c r="K23" s="39"/>
      <c r="L23" s="39"/>
      <c r="M23" s="39"/>
      <c r="N23" s="39"/>
      <c r="O23" s="39"/>
      <c r="P23" s="39"/>
      <c r="Q23" s="39"/>
      <c r="R23" s="39"/>
      <c r="S23" s="39"/>
      <c r="T23" s="39"/>
      <c r="U23" s="39"/>
      <c r="V23" s="39"/>
      <c r="W23" s="39"/>
      <c r="X23" s="39"/>
      <c r="Y23" s="39"/>
      <c r="Z23" s="39"/>
    </row>
    <row r="24" spans="1:26" ht="15.75">
      <c r="A24" s="51" t="s">
        <v>108</v>
      </c>
      <c r="B24" s="54">
        <v>-5</v>
      </c>
      <c r="C24" s="45"/>
      <c r="D24" s="45"/>
      <c r="E24" s="45"/>
      <c r="F24" s="39"/>
      <c r="G24" s="39"/>
      <c r="H24" s="39"/>
      <c r="I24" s="39"/>
      <c r="J24" s="39"/>
      <c r="K24" s="39"/>
      <c r="L24" s="39"/>
      <c r="M24" s="39"/>
      <c r="N24" s="39"/>
      <c r="O24" s="39"/>
      <c r="P24" s="39"/>
      <c r="Q24" s="39"/>
      <c r="R24" s="39"/>
      <c r="S24" s="39"/>
      <c r="T24" s="39"/>
      <c r="U24" s="39"/>
      <c r="V24" s="39"/>
      <c r="W24" s="39"/>
      <c r="X24" s="39"/>
      <c r="Y24" s="39"/>
      <c r="Z24" s="39"/>
    </row>
    <row r="25" spans="1:26" ht="15.75">
      <c r="A25" s="55" t="s">
        <v>109</v>
      </c>
      <c r="B25" s="45"/>
      <c r="C25" s="45"/>
      <c r="D25" s="45"/>
      <c r="E25" s="45"/>
      <c r="F25" s="39"/>
      <c r="G25" s="39"/>
      <c r="H25" s="39"/>
      <c r="I25" s="39"/>
      <c r="J25" s="39"/>
      <c r="K25" s="39"/>
      <c r="L25" s="39"/>
      <c r="M25" s="39"/>
      <c r="N25" s="39"/>
      <c r="O25" s="39"/>
      <c r="P25" s="39"/>
      <c r="Q25" s="39"/>
      <c r="R25" s="39"/>
      <c r="S25" s="39"/>
      <c r="T25" s="39"/>
      <c r="U25" s="39"/>
      <c r="V25" s="39"/>
      <c r="W25" s="39"/>
      <c r="X25" s="39"/>
      <c r="Y25" s="39"/>
      <c r="Z25" s="39"/>
    </row>
    <row r="26" spans="1:26" ht="15.75">
      <c r="A26" s="51" t="s">
        <v>35</v>
      </c>
      <c r="B26" s="46">
        <v>3</v>
      </c>
      <c r="C26" s="45"/>
      <c r="D26" s="45"/>
      <c r="E26" s="45"/>
      <c r="F26" s="39"/>
      <c r="G26" s="39"/>
      <c r="H26" s="39"/>
      <c r="I26" s="39"/>
      <c r="J26" s="39"/>
      <c r="K26" s="39"/>
      <c r="L26" s="39"/>
      <c r="M26" s="39"/>
      <c r="N26" s="39"/>
      <c r="O26" s="39"/>
      <c r="P26" s="39"/>
      <c r="Q26" s="39"/>
      <c r="R26" s="39"/>
      <c r="S26" s="39"/>
      <c r="T26" s="39"/>
      <c r="U26" s="39"/>
      <c r="V26" s="39"/>
      <c r="W26" s="39"/>
      <c r="X26" s="39"/>
      <c r="Y26" s="39"/>
      <c r="Z26" s="39"/>
    </row>
    <row r="27" spans="1:26" ht="15.75">
      <c r="A27" s="51" t="s">
        <v>110</v>
      </c>
      <c r="B27" s="54">
        <v>2</v>
      </c>
      <c r="C27" s="45"/>
      <c r="D27" s="45"/>
      <c r="E27" s="45"/>
      <c r="F27" s="39"/>
      <c r="G27" s="39"/>
      <c r="H27" s="39"/>
      <c r="I27" s="39"/>
      <c r="J27" s="39"/>
      <c r="K27" s="39"/>
      <c r="L27" s="39"/>
      <c r="M27" s="39"/>
      <c r="N27" s="39"/>
      <c r="O27" s="39"/>
      <c r="P27" s="39"/>
      <c r="Q27" s="39"/>
      <c r="R27" s="39"/>
      <c r="S27" s="39"/>
      <c r="T27" s="39"/>
      <c r="U27" s="39"/>
      <c r="V27" s="39"/>
      <c r="W27" s="39"/>
      <c r="X27" s="39"/>
      <c r="Y27" s="39"/>
      <c r="Z27" s="39"/>
    </row>
    <row r="28" spans="1:26" ht="15.75">
      <c r="A28" s="51" t="s">
        <v>111</v>
      </c>
      <c r="B28" s="54">
        <v>1</v>
      </c>
      <c r="C28" s="45"/>
      <c r="D28" s="45"/>
      <c r="E28" s="45"/>
      <c r="F28" s="39"/>
      <c r="G28" s="39"/>
      <c r="H28" s="39"/>
      <c r="I28" s="39"/>
      <c r="J28" s="39"/>
      <c r="K28" s="39"/>
      <c r="L28" s="39"/>
      <c r="M28" s="39"/>
      <c r="N28" s="39"/>
      <c r="O28" s="39"/>
      <c r="P28" s="39"/>
      <c r="Q28" s="39"/>
      <c r="R28" s="39"/>
      <c r="S28" s="39"/>
      <c r="T28" s="39"/>
      <c r="U28" s="39"/>
      <c r="V28" s="39"/>
      <c r="W28" s="39"/>
      <c r="X28" s="39"/>
      <c r="Y28" s="39"/>
      <c r="Z28" s="39"/>
    </row>
    <row r="29" spans="1:26" ht="15.75">
      <c r="A29" s="51" t="s">
        <v>112</v>
      </c>
      <c r="B29" s="54">
        <v>0</v>
      </c>
      <c r="C29" s="45"/>
      <c r="D29" s="45"/>
      <c r="E29" s="45"/>
      <c r="F29" s="39"/>
      <c r="G29" s="39"/>
      <c r="H29" s="39"/>
      <c r="I29" s="39"/>
      <c r="J29" s="39"/>
      <c r="K29" s="39"/>
      <c r="L29" s="39"/>
      <c r="M29" s="39"/>
      <c r="N29" s="39"/>
      <c r="O29" s="39"/>
      <c r="P29" s="39"/>
      <c r="Q29" s="39"/>
      <c r="R29" s="39"/>
      <c r="S29" s="39"/>
      <c r="T29" s="39"/>
      <c r="U29" s="39"/>
      <c r="V29" s="39"/>
      <c r="W29" s="39"/>
      <c r="X29" s="39"/>
      <c r="Y29" s="39"/>
      <c r="Z29" s="39"/>
    </row>
    <row r="30" spans="1:26" ht="30.75">
      <c r="A30" s="50" t="s">
        <v>287</v>
      </c>
      <c r="B30" s="45"/>
      <c r="C30" s="45"/>
      <c r="D30" s="45"/>
      <c r="E30" s="45"/>
      <c r="F30" s="39"/>
      <c r="G30" s="39"/>
      <c r="H30" s="39"/>
      <c r="I30" s="39"/>
      <c r="J30" s="39"/>
      <c r="K30" s="39"/>
      <c r="L30" s="39"/>
      <c r="M30" s="39"/>
      <c r="N30" s="39"/>
      <c r="O30" s="39"/>
      <c r="P30" s="39"/>
      <c r="Q30" s="39"/>
      <c r="R30" s="39"/>
      <c r="S30" s="39"/>
      <c r="T30" s="39"/>
      <c r="U30" s="39"/>
      <c r="V30" s="39"/>
      <c r="W30" s="39"/>
      <c r="X30" s="39"/>
      <c r="Y30" s="39"/>
      <c r="Z30" s="39"/>
    </row>
    <row r="31" spans="1:26" ht="15.75">
      <c r="A31" s="51" t="s">
        <v>26</v>
      </c>
      <c r="B31" s="46">
        <v>2</v>
      </c>
      <c r="C31" s="45"/>
      <c r="D31" s="45"/>
      <c r="E31" s="45"/>
      <c r="F31" s="39"/>
      <c r="G31" s="39"/>
      <c r="H31" s="39"/>
      <c r="I31" s="39"/>
      <c r="J31" s="39"/>
      <c r="K31" s="39"/>
      <c r="L31" s="39"/>
      <c r="M31" s="39"/>
      <c r="N31" s="39"/>
      <c r="O31" s="39"/>
      <c r="P31" s="39"/>
      <c r="Q31" s="39"/>
      <c r="R31" s="39"/>
      <c r="S31" s="39"/>
      <c r="T31" s="39"/>
      <c r="U31" s="39"/>
      <c r="V31" s="39"/>
      <c r="W31" s="39"/>
      <c r="X31" s="39"/>
      <c r="Y31" s="39"/>
      <c r="Z31" s="39"/>
    </row>
    <row r="32" spans="1:26" ht="15.75">
      <c r="A32" s="51" t="s">
        <v>114</v>
      </c>
      <c r="B32" s="54">
        <v>1</v>
      </c>
      <c r="C32" s="45"/>
      <c r="D32" s="45"/>
      <c r="E32" s="45"/>
      <c r="F32" s="39"/>
      <c r="G32" s="39"/>
      <c r="H32" s="39"/>
      <c r="I32" s="39"/>
      <c r="J32" s="39"/>
      <c r="K32" s="39"/>
      <c r="L32" s="39"/>
      <c r="M32" s="39"/>
      <c r="N32" s="39"/>
      <c r="O32" s="39"/>
      <c r="P32" s="39"/>
      <c r="Q32" s="39"/>
      <c r="R32" s="39"/>
      <c r="S32" s="39"/>
      <c r="T32" s="39"/>
      <c r="U32" s="39"/>
      <c r="V32" s="39"/>
      <c r="W32" s="39"/>
      <c r="X32" s="39"/>
      <c r="Y32" s="39"/>
      <c r="Z32" s="39"/>
    </row>
    <row r="33" spans="1:26" ht="15.75">
      <c r="A33" s="51" t="s">
        <v>115</v>
      </c>
      <c r="B33" s="54">
        <v>0</v>
      </c>
      <c r="C33" s="45"/>
      <c r="D33" s="45"/>
      <c r="E33" s="45"/>
      <c r="F33" s="39"/>
      <c r="G33" s="39"/>
      <c r="H33" s="39"/>
      <c r="I33" s="39"/>
      <c r="J33" s="39"/>
      <c r="K33" s="39"/>
      <c r="L33" s="39"/>
      <c r="M33" s="39"/>
      <c r="N33" s="39"/>
      <c r="O33" s="39"/>
      <c r="P33" s="39"/>
      <c r="Q33" s="39"/>
      <c r="R33" s="39"/>
      <c r="S33" s="39"/>
      <c r="T33" s="39"/>
      <c r="U33" s="39"/>
      <c r="V33" s="39"/>
      <c r="W33" s="39"/>
      <c r="X33" s="39"/>
      <c r="Y33" s="39"/>
      <c r="Z33" s="39"/>
    </row>
    <row r="34" spans="1:26" ht="30.75">
      <c r="A34" s="50" t="s">
        <v>288</v>
      </c>
      <c r="B34" s="45"/>
      <c r="C34" s="45"/>
      <c r="D34" s="45"/>
      <c r="E34" s="45"/>
      <c r="F34" s="39"/>
      <c r="G34" s="39"/>
      <c r="H34" s="39"/>
      <c r="I34" s="39"/>
      <c r="J34" s="39"/>
      <c r="K34" s="39"/>
      <c r="L34" s="39"/>
      <c r="M34" s="39"/>
      <c r="N34" s="39"/>
      <c r="O34" s="39"/>
      <c r="P34" s="39"/>
      <c r="Q34" s="39"/>
      <c r="R34" s="39"/>
      <c r="S34" s="39"/>
      <c r="T34" s="39"/>
      <c r="U34" s="39"/>
      <c r="V34" s="39"/>
      <c r="W34" s="39"/>
      <c r="X34" s="39"/>
      <c r="Y34" s="39"/>
      <c r="Z34" s="39"/>
    </row>
    <row r="35" spans="1:26" ht="15.75">
      <c r="A35" s="51" t="s">
        <v>26</v>
      </c>
      <c r="B35" s="46">
        <v>5</v>
      </c>
      <c r="C35" s="45"/>
      <c r="D35" s="45"/>
      <c r="E35" s="45"/>
      <c r="F35" s="39"/>
      <c r="G35" s="39"/>
      <c r="H35" s="39"/>
      <c r="I35" s="39"/>
      <c r="J35" s="39"/>
      <c r="K35" s="39"/>
      <c r="L35" s="39"/>
      <c r="M35" s="39"/>
      <c r="N35" s="39"/>
      <c r="O35" s="39"/>
      <c r="P35" s="39"/>
      <c r="Q35" s="39"/>
      <c r="R35" s="39"/>
      <c r="S35" s="39"/>
      <c r="T35" s="39"/>
      <c r="U35" s="39"/>
      <c r="V35" s="39"/>
      <c r="W35" s="39"/>
      <c r="X35" s="39"/>
      <c r="Y35" s="39"/>
      <c r="Z35" s="39"/>
    </row>
    <row r="36" spans="1:26" ht="15.75">
      <c r="A36" s="51" t="s">
        <v>117</v>
      </c>
      <c r="B36" s="54">
        <v>3</v>
      </c>
      <c r="C36" s="45"/>
      <c r="D36" s="45"/>
      <c r="E36" s="45"/>
      <c r="F36" s="39"/>
      <c r="G36" s="39"/>
      <c r="H36" s="39"/>
      <c r="I36" s="39"/>
      <c r="J36" s="39"/>
      <c r="K36" s="39"/>
      <c r="L36" s="39"/>
      <c r="M36" s="39"/>
      <c r="N36" s="39"/>
      <c r="O36" s="39"/>
      <c r="P36" s="39"/>
      <c r="Q36" s="39"/>
      <c r="R36" s="39"/>
      <c r="S36" s="39"/>
      <c r="T36" s="39"/>
      <c r="U36" s="39"/>
      <c r="V36" s="39"/>
      <c r="W36" s="39"/>
      <c r="X36" s="39"/>
      <c r="Y36" s="39"/>
      <c r="Z36" s="39"/>
    </row>
    <row r="37" spans="1:26" ht="15.75">
      <c r="A37" s="51" t="s">
        <v>118</v>
      </c>
      <c r="B37" s="54">
        <v>0</v>
      </c>
      <c r="C37" s="45"/>
      <c r="D37" s="45"/>
      <c r="E37" s="45"/>
      <c r="F37" s="39"/>
      <c r="G37" s="39"/>
      <c r="H37" s="39"/>
      <c r="I37" s="39"/>
      <c r="J37" s="39"/>
      <c r="K37" s="39"/>
      <c r="L37" s="39"/>
      <c r="M37" s="39"/>
      <c r="N37" s="39"/>
      <c r="O37" s="39"/>
      <c r="P37" s="39"/>
      <c r="Q37" s="39"/>
      <c r="R37" s="39"/>
      <c r="S37" s="39"/>
      <c r="T37" s="39"/>
      <c r="U37" s="39"/>
      <c r="V37" s="39"/>
      <c r="W37" s="39"/>
      <c r="X37" s="39"/>
      <c r="Y37" s="39"/>
      <c r="Z37" s="39"/>
    </row>
    <row r="38" spans="1:26" ht="15.75">
      <c r="A38" s="51" t="s">
        <v>119</v>
      </c>
      <c r="B38" s="54">
        <v>-5</v>
      </c>
      <c r="C38" s="45"/>
      <c r="D38" s="45"/>
      <c r="E38" s="45"/>
      <c r="F38" s="39"/>
      <c r="G38" s="39"/>
      <c r="H38" s="39"/>
      <c r="I38" s="39"/>
      <c r="J38" s="39"/>
      <c r="K38" s="39"/>
      <c r="L38" s="39"/>
      <c r="M38" s="39"/>
      <c r="N38" s="39"/>
      <c r="O38" s="39"/>
      <c r="P38" s="39"/>
      <c r="Q38" s="39"/>
      <c r="R38" s="39"/>
      <c r="S38" s="39"/>
      <c r="T38" s="39"/>
      <c r="U38" s="39"/>
      <c r="V38" s="39"/>
      <c r="W38" s="39"/>
      <c r="X38" s="39"/>
      <c r="Y38" s="39"/>
      <c r="Z38" s="39"/>
    </row>
    <row r="39" spans="1:26" ht="31.5">
      <c r="A39" s="55" t="s">
        <v>120</v>
      </c>
      <c r="B39" s="45"/>
      <c r="C39" s="45"/>
      <c r="D39" s="45"/>
      <c r="E39" s="45"/>
      <c r="F39" s="39"/>
      <c r="G39" s="39"/>
      <c r="H39" s="39"/>
      <c r="I39" s="39"/>
      <c r="J39" s="39"/>
      <c r="K39" s="39"/>
      <c r="L39" s="39"/>
      <c r="M39" s="39"/>
      <c r="N39" s="39"/>
      <c r="O39" s="39"/>
      <c r="P39" s="39"/>
      <c r="Q39" s="39"/>
      <c r="R39" s="39"/>
      <c r="S39" s="39"/>
      <c r="T39" s="39"/>
      <c r="U39" s="39"/>
      <c r="V39" s="39"/>
      <c r="W39" s="39"/>
      <c r="X39" s="39"/>
      <c r="Y39" s="39"/>
      <c r="Z39" s="39"/>
    </row>
    <row r="40" spans="1:26" ht="15.75">
      <c r="A40" s="50" t="s">
        <v>289</v>
      </c>
      <c r="B40" s="46">
        <v>3</v>
      </c>
      <c r="C40" s="45"/>
      <c r="D40" s="45"/>
      <c r="E40" s="45"/>
      <c r="F40" s="39"/>
      <c r="G40" s="39"/>
      <c r="H40" s="39"/>
      <c r="I40" s="39"/>
      <c r="J40" s="39"/>
      <c r="K40" s="39"/>
      <c r="L40" s="39"/>
      <c r="M40" s="39"/>
      <c r="N40" s="39"/>
      <c r="O40" s="39"/>
      <c r="P40" s="39"/>
      <c r="Q40" s="39"/>
      <c r="R40" s="39"/>
      <c r="S40" s="39"/>
      <c r="T40" s="39"/>
      <c r="U40" s="39"/>
      <c r="V40" s="39"/>
      <c r="W40" s="39"/>
      <c r="X40" s="39"/>
      <c r="Y40" s="39"/>
      <c r="Z40" s="39"/>
    </row>
    <row r="41" spans="1:26" ht="15.75">
      <c r="A41" s="50" t="s">
        <v>290</v>
      </c>
      <c r="B41" s="54">
        <v>0</v>
      </c>
      <c r="C41" s="45"/>
      <c r="D41" s="45"/>
      <c r="E41" s="45"/>
      <c r="F41" s="39"/>
      <c r="G41" s="39"/>
      <c r="H41" s="39"/>
      <c r="I41" s="39"/>
      <c r="J41" s="39"/>
      <c r="K41" s="39"/>
      <c r="L41" s="39"/>
      <c r="M41" s="39"/>
      <c r="N41" s="39"/>
      <c r="O41" s="39"/>
      <c r="P41" s="39"/>
      <c r="Q41" s="39"/>
      <c r="R41" s="39"/>
      <c r="S41" s="39"/>
      <c r="T41" s="39"/>
      <c r="U41" s="39"/>
      <c r="V41" s="39"/>
      <c r="W41" s="39"/>
      <c r="X41" s="39"/>
      <c r="Y41" s="39"/>
      <c r="Z41" s="39"/>
    </row>
    <row r="42" spans="1:26" ht="15.75">
      <c r="A42" s="51" t="s">
        <v>123</v>
      </c>
      <c r="B42" s="54">
        <v>-5</v>
      </c>
      <c r="C42" s="45"/>
      <c r="D42" s="45"/>
      <c r="E42" s="45"/>
      <c r="F42" s="39"/>
      <c r="G42" s="39"/>
      <c r="H42" s="39"/>
      <c r="I42" s="39"/>
      <c r="J42" s="39"/>
      <c r="K42" s="39"/>
      <c r="L42" s="39"/>
      <c r="M42" s="39"/>
      <c r="N42" s="39"/>
      <c r="O42" s="39"/>
      <c r="P42" s="39"/>
      <c r="Q42" s="39"/>
      <c r="R42" s="39"/>
      <c r="S42" s="39"/>
      <c r="T42" s="39"/>
      <c r="U42" s="39"/>
      <c r="V42" s="39"/>
      <c r="W42" s="39"/>
      <c r="X42" s="39"/>
      <c r="Y42" s="39"/>
      <c r="Z42" s="39"/>
    </row>
    <row r="43" spans="1:26" ht="31.5">
      <c r="A43" s="56" t="s">
        <v>124</v>
      </c>
      <c r="B43" s="45"/>
      <c r="C43" s="45"/>
      <c r="D43" s="45"/>
      <c r="E43" s="45"/>
      <c r="F43" s="39"/>
      <c r="G43" s="39"/>
      <c r="H43" s="39"/>
      <c r="I43" s="39"/>
      <c r="J43" s="39"/>
      <c r="K43" s="39"/>
      <c r="L43" s="39"/>
      <c r="M43" s="39"/>
      <c r="N43" s="39"/>
      <c r="O43" s="39"/>
      <c r="P43" s="39"/>
      <c r="Q43" s="39"/>
      <c r="R43" s="39"/>
      <c r="S43" s="39"/>
      <c r="T43" s="39"/>
      <c r="U43" s="39"/>
      <c r="V43" s="39"/>
      <c r="W43" s="39"/>
      <c r="X43" s="39"/>
      <c r="Y43" s="39"/>
      <c r="Z43" s="39"/>
    </row>
    <row r="44" spans="1:26" ht="15.75">
      <c r="A44" s="57" t="s">
        <v>291</v>
      </c>
      <c r="B44" s="46">
        <v>3</v>
      </c>
      <c r="C44" s="45"/>
      <c r="D44" s="45"/>
      <c r="E44" s="45"/>
      <c r="F44" s="39"/>
      <c r="G44" s="39"/>
      <c r="H44" s="39"/>
      <c r="I44" s="39"/>
      <c r="J44" s="39"/>
      <c r="K44" s="39"/>
      <c r="L44" s="39"/>
      <c r="M44" s="39"/>
      <c r="N44" s="39"/>
      <c r="O44" s="39"/>
      <c r="P44" s="39"/>
      <c r="Q44" s="39"/>
      <c r="R44" s="39"/>
      <c r="S44" s="39"/>
      <c r="T44" s="39"/>
      <c r="U44" s="39"/>
      <c r="V44" s="39"/>
      <c r="W44" s="39"/>
      <c r="X44" s="39"/>
      <c r="Y44" s="39"/>
      <c r="Z44" s="39"/>
    </row>
    <row r="45" spans="1:26" ht="15.75">
      <c r="A45" s="58" t="s">
        <v>126</v>
      </c>
      <c r="B45" s="54">
        <v>0</v>
      </c>
      <c r="C45" s="45"/>
      <c r="D45" s="45"/>
      <c r="E45" s="45"/>
      <c r="F45" s="39"/>
      <c r="G45" s="39"/>
      <c r="H45" s="39"/>
      <c r="I45" s="39"/>
      <c r="J45" s="39"/>
      <c r="K45" s="39"/>
      <c r="L45" s="39"/>
      <c r="M45" s="39"/>
      <c r="N45" s="39"/>
      <c r="O45" s="39"/>
      <c r="P45" s="39"/>
      <c r="Q45" s="39"/>
      <c r="R45" s="39"/>
      <c r="S45" s="39"/>
      <c r="T45" s="39"/>
      <c r="U45" s="39"/>
      <c r="V45" s="39"/>
      <c r="W45" s="39"/>
      <c r="X45" s="39"/>
      <c r="Y45" s="39"/>
      <c r="Z45" s="39"/>
    </row>
    <row r="46" spans="1:26" ht="15.75">
      <c r="A46" s="55" t="s">
        <v>127</v>
      </c>
      <c r="B46" s="46"/>
      <c r="C46" s="45"/>
      <c r="D46" s="45"/>
      <c r="E46" s="45"/>
      <c r="F46" s="39"/>
      <c r="G46" s="39"/>
      <c r="H46" s="39"/>
      <c r="I46" s="39"/>
      <c r="J46" s="39"/>
      <c r="K46" s="39"/>
      <c r="L46" s="39"/>
      <c r="M46" s="39"/>
      <c r="N46" s="39"/>
      <c r="O46" s="39"/>
      <c r="P46" s="39"/>
      <c r="Q46" s="39"/>
      <c r="R46" s="39"/>
      <c r="S46" s="39"/>
      <c r="T46" s="39"/>
      <c r="U46" s="39"/>
      <c r="V46" s="39"/>
      <c r="W46" s="39"/>
      <c r="X46" s="39"/>
      <c r="Y46" s="39"/>
      <c r="Z46" s="39"/>
    </row>
    <row r="47" spans="1:26" ht="15.75">
      <c r="A47" s="51" t="s">
        <v>52</v>
      </c>
      <c r="B47" s="46">
        <v>7</v>
      </c>
      <c r="C47" s="45"/>
      <c r="D47" s="45"/>
      <c r="E47" s="45"/>
      <c r="F47" s="39"/>
      <c r="G47" s="39"/>
      <c r="H47" s="39"/>
      <c r="I47" s="39"/>
      <c r="J47" s="39"/>
      <c r="K47" s="39"/>
      <c r="L47" s="39"/>
      <c r="M47" s="39"/>
      <c r="N47" s="39"/>
      <c r="O47" s="39"/>
      <c r="P47" s="39"/>
      <c r="Q47" s="39"/>
      <c r="R47" s="39"/>
      <c r="S47" s="39"/>
      <c r="T47" s="39"/>
      <c r="U47" s="39"/>
      <c r="V47" s="39"/>
      <c r="W47" s="39"/>
      <c r="X47" s="39"/>
      <c r="Y47" s="39"/>
      <c r="Z47" s="39"/>
    </row>
    <row r="48" spans="1:26" ht="15.75">
      <c r="A48" s="51" t="s">
        <v>128</v>
      </c>
      <c r="B48" s="54">
        <v>-5</v>
      </c>
      <c r="C48" s="45"/>
      <c r="D48" s="45"/>
      <c r="E48" s="45"/>
      <c r="F48" s="39"/>
      <c r="G48" s="39"/>
      <c r="H48" s="39"/>
      <c r="I48" s="39"/>
      <c r="J48" s="39"/>
      <c r="K48" s="39"/>
      <c r="L48" s="39"/>
      <c r="M48" s="39"/>
      <c r="N48" s="39"/>
      <c r="O48" s="39"/>
      <c r="P48" s="39"/>
      <c r="Q48" s="39"/>
      <c r="R48" s="39"/>
      <c r="S48" s="39"/>
      <c r="T48" s="39"/>
      <c r="U48" s="39"/>
      <c r="V48" s="39"/>
      <c r="W48" s="39"/>
      <c r="X48" s="39"/>
      <c r="Y48" s="39"/>
      <c r="Z48" s="39"/>
    </row>
    <row r="49" spans="1:26" ht="15.75">
      <c r="A49" s="51" t="s">
        <v>129</v>
      </c>
      <c r="B49" s="54">
        <v>-10</v>
      </c>
      <c r="C49" s="45"/>
      <c r="D49" s="45"/>
      <c r="E49" s="45"/>
      <c r="F49" s="39"/>
      <c r="G49" s="39"/>
      <c r="H49" s="39"/>
      <c r="I49" s="39"/>
      <c r="J49" s="39"/>
      <c r="K49" s="39"/>
      <c r="L49" s="39"/>
      <c r="M49" s="39"/>
      <c r="N49" s="39"/>
      <c r="O49" s="39"/>
      <c r="P49" s="39"/>
      <c r="Q49" s="39"/>
      <c r="R49" s="39"/>
      <c r="S49" s="39"/>
      <c r="T49" s="39"/>
      <c r="U49" s="39"/>
      <c r="V49" s="39"/>
      <c r="W49" s="39"/>
      <c r="X49" s="39"/>
      <c r="Y49" s="39"/>
      <c r="Z49" s="39"/>
    </row>
    <row r="50" spans="1:26" ht="20.25" customHeight="1">
      <c r="A50" s="59" t="s">
        <v>292</v>
      </c>
      <c r="B50" s="48">
        <f>SUM(B52,B56)</f>
        <v>10</v>
      </c>
      <c r="C50" s="49"/>
      <c r="D50" s="49"/>
      <c r="E50" s="49"/>
      <c r="F50" s="39"/>
      <c r="G50" s="39"/>
      <c r="H50" s="39"/>
      <c r="I50" s="39"/>
      <c r="J50" s="39"/>
      <c r="K50" s="39"/>
      <c r="L50" s="39"/>
      <c r="M50" s="39"/>
      <c r="N50" s="39"/>
      <c r="O50" s="39"/>
      <c r="P50" s="39"/>
      <c r="Q50" s="39"/>
      <c r="R50" s="39"/>
      <c r="S50" s="39"/>
      <c r="T50" s="39"/>
      <c r="U50" s="39"/>
      <c r="V50" s="39"/>
      <c r="W50" s="39"/>
      <c r="X50" s="39"/>
      <c r="Y50" s="39"/>
      <c r="Z50" s="39"/>
    </row>
    <row r="51" spans="1:26" ht="15.75">
      <c r="A51" s="60" t="s">
        <v>131</v>
      </c>
      <c r="B51" s="45"/>
      <c r="C51" s="45"/>
      <c r="D51" s="45"/>
      <c r="E51" s="45"/>
      <c r="F51" s="39"/>
      <c r="G51" s="39"/>
      <c r="H51" s="39"/>
      <c r="I51" s="39"/>
      <c r="J51" s="39"/>
      <c r="K51" s="39"/>
      <c r="L51" s="39"/>
      <c r="M51" s="39"/>
      <c r="N51" s="39"/>
      <c r="O51" s="39"/>
      <c r="P51" s="39"/>
      <c r="Q51" s="39"/>
      <c r="R51" s="39"/>
      <c r="S51" s="39"/>
      <c r="T51" s="39"/>
      <c r="U51" s="39"/>
      <c r="V51" s="39"/>
      <c r="W51" s="39"/>
      <c r="X51" s="39"/>
      <c r="Y51" s="39"/>
      <c r="Z51" s="39"/>
    </row>
    <row r="52" spans="1:26" ht="15.75">
      <c r="A52" s="61" t="s">
        <v>132</v>
      </c>
      <c r="B52" s="46">
        <v>7</v>
      </c>
      <c r="C52" s="45"/>
      <c r="D52" s="45"/>
      <c r="E52" s="45"/>
      <c r="F52" s="39"/>
      <c r="G52" s="39"/>
      <c r="H52" s="39"/>
      <c r="I52" s="39"/>
      <c r="J52" s="39"/>
      <c r="K52" s="39"/>
      <c r="L52" s="39"/>
      <c r="M52" s="39"/>
      <c r="N52" s="39"/>
      <c r="O52" s="39"/>
      <c r="P52" s="39"/>
      <c r="Q52" s="39"/>
      <c r="R52" s="39"/>
      <c r="S52" s="39"/>
      <c r="T52" s="39"/>
      <c r="U52" s="39"/>
      <c r="V52" s="39"/>
      <c r="W52" s="39"/>
      <c r="X52" s="39"/>
      <c r="Y52" s="39"/>
      <c r="Z52" s="39"/>
    </row>
    <row r="53" spans="1:26" ht="15.75">
      <c r="A53" s="61" t="s">
        <v>133</v>
      </c>
      <c r="B53" s="54">
        <v>5</v>
      </c>
      <c r="C53" s="45"/>
      <c r="D53" s="45"/>
      <c r="E53" s="45"/>
      <c r="F53" s="39"/>
      <c r="G53" s="39"/>
      <c r="H53" s="39"/>
      <c r="I53" s="39"/>
      <c r="J53" s="39"/>
      <c r="K53" s="39"/>
      <c r="L53" s="39"/>
      <c r="M53" s="39"/>
      <c r="N53" s="39"/>
      <c r="O53" s="39"/>
      <c r="P53" s="39"/>
      <c r="Q53" s="39"/>
      <c r="R53" s="39"/>
      <c r="S53" s="39"/>
      <c r="T53" s="39"/>
      <c r="U53" s="39"/>
      <c r="V53" s="39"/>
      <c r="W53" s="39"/>
      <c r="X53" s="39"/>
      <c r="Y53" s="39"/>
      <c r="Z53" s="39"/>
    </row>
    <row r="54" spans="1:26" ht="15.75">
      <c r="A54" s="61" t="s">
        <v>134</v>
      </c>
      <c r="B54" s="54">
        <v>0</v>
      </c>
      <c r="C54" s="45"/>
      <c r="D54" s="45"/>
      <c r="E54" s="45"/>
      <c r="F54" s="39"/>
      <c r="G54" s="39"/>
      <c r="H54" s="39"/>
      <c r="I54" s="39"/>
      <c r="J54" s="39"/>
      <c r="K54" s="39"/>
      <c r="L54" s="39"/>
      <c r="M54" s="39"/>
      <c r="N54" s="39"/>
      <c r="O54" s="39"/>
      <c r="P54" s="39"/>
      <c r="Q54" s="39"/>
      <c r="R54" s="39"/>
      <c r="S54" s="39"/>
      <c r="T54" s="39"/>
      <c r="U54" s="39"/>
      <c r="V54" s="39"/>
      <c r="W54" s="39"/>
      <c r="X54" s="39"/>
      <c r="Y54" s="39"/>
      <c r="Z54" s="39"/>
    </row>
    <row r="55" spans="1:26" ht="15.75">
      <c r="A55" s="60" t="s">
        <v>135</v>
      </c>
      <c r="B55" s="54"/>
      <c r="C55" s="45"/>
      <c r="D55" s="45"/>
      <c r="E55" s="45"/>
      <c r="F55" s="39"/>
      <c r="G55" s="39"/>
      <c r="H55" s="39"/>
      <c r="I55" s="39"/>
      <c r="J55" s="39"/>
      <c r="K55" s="39"/>
      <c r="L55" s="39"/>
      <c r="M55" s="39"/>
      <c r="N55" s="39"/>
      <c r="O55" s="39"/>
      <c r="P55" s="39"/>
      <c r="Q55" s="39"/>
      <c r="R55" s="39"/>
      <c r="S55" s="39"/>
      <c r="T55" s="39"/>
      <c r="U55" s="39"/>
      <c r="V55" s="39"/>
      <c r="W55" s="39"/>
      <c r="X55" s="39"/>
      <c r="Y55" s="39"/>
      <c r="Z55" s="39"/>
    </row>
    <row r="56" spans="1:26" ht="15.75">
      <c r="A56" s="62" t="s">
        <v>136</v>
      </c>
      <c r="B56" s="54">
        <v>3</v>
      </c>
      <c r="C56" s="45"/>
      <c r="D56" s="45"/>
      <c r="E56" s="45"/>
      <c r="F56" s="39"/>
      <c r="G56" s="39"/>
      <c r="H56" s="39"/>
      <c r="I56" s="39"/>
      <c r="J56" s="39"/>
      <c r="K56" s="39"/>
      <c r="L56" s="39"/>
      <c r="M56" s="39"/>
      <c r="N56" s="39"/>
      <c r="O56" s="39"/>
      <c r="P56" s="39"/>
      <c r="Q56" s="39"/>
      <c r="R56" s="39"/>
      <c r="S56" s="39"/>
      <c r="T56" s="39"/>
      <c r="U56" s="39"/>
      <c r="V56" s="39"/>
      <c r="W56" s="39"/>
      <c r="X56" s="39"/>
      <c r="Y56" s="39"/>
      <c r="Z56" s="39"/>
    </row>
    <row r="57" spans="1:26" ht="15.75">
      <c r="A57" s="62" t="s">
        <v>137</v>
      </c>
      <c r="B57" s="54">
        <v>1</v>
      </c>
      <c r="C57" s="45"/>
      <c r="D57" s="45"/>
      <c r="E57" s="45"/>
      <c r="F57" s="39"/>
      <c r="G57" s="39"/>
      <c r="H57" s="39"/>
      <c r="I57" s="39"/>
      <c r="J57" s="39"/>
      <c r="K57" s="39"/>
      <c r="L57" s="39"/>
      <c r="M57" s="39"/>
      <c r="N57" s="39"/>
      <c r="O57" s="39"/>
      <c r="P57" s="39"/>
      <c r="Q57" s="39"/>
      <c r="R57" s="39"/>
      <c r="S57" s="39"/>
      <c r="T57" s="39"/>
      <c r="U57" s="39"/>
      <c r="V57" s="39"/>
      <c r="W57" s="39"/>
      <c r="X57" s="39"/>
      <c r="Y57" s="39"/>
      <c r="Z57" s="39"/>
    </row>
    <row r="58" spans="1:26" ht="15.75">
      <c r="A58" s="62" t="s">
        <v>138</v>
      </c>
      <c r="B58" s="46">
        <v>0</v>
      </c>
      <c r="C58" s="45"/>
      <c r="D58" s="45"/>
      <c r="E58" s="45"/>
      <c r="F58" s="39"/>
      <c r="G58" s="39"/>
      <c r="H58" s="39"/>
      <c r="I58" s="39"/>
      <c r="J58" s="39"/>
      <c r="K58" s="39"/>
      <c r="L58" s="39"/>
      <c r="M58" s="39"/>
      <c r="N58" s="39"/>
      <c r="O58" s="39"/>
      <c r="P58" s="39"/>
      <c r="Q58" s="39"/>
      <c r="R58" s="39"/>
      <c r="S58" s="39"/>
      <c r="T58" s="39"/>
      <c r="U58" s="39"/>
      <c r="V58" s="39"/>
      <c r="W58" s="39"/>
      <c r="X58" s="39"/>
      <c r="Y58" s="39"/>
      <c r="Z58" s="39"/>
    </row>
    <row r="59" spans="1:26" ht="19.5" customHeight="1">
      <c r="A59" s="47" t="s">
        <v>139</v>
      </c>
      <c r="B59" s="48">
        <f>SUM(B61,B65,B68,B73)</f>
        <v>15</v>
      </c>
      <c r="C59" s="49"/>
      <c r="D59" s="49"/>
      <c r="E59" s="49"/>
      <c r="F59" s="39"/>
      <c r="G59" s="39"/>
      <c r="H59" s="39"/>
      <c r="I59" s="39"/>
      <c r="J59" s="39"/>
      <c r="K59" s="39"/>
      <c r="L59" s="39"/>
      <c r="M59" s="39"/>
      <c r="N59" s="39"/>
      <c r="O59" s="39"/>
      <c r="P59" s="39"/>
      <c r="Q59" s="39"/>
      <c r="R59" s="39"/>
      <c r="S59" s="39"/>
      <c r="T59" s="39"/>
      <c r="U59" s="39"/>
      <c r="V59" s="39"/>
      <c r="W59" s="39"/>
      <c r="X59" s="39"/>
      <c r="Y59" s="39"/>
      <c r="Z59" s="39"/>
    </row>
    <row r="60" spans="1:26" ht="31.5">
      <c r="A60" s="55" t="s">
        <v>140</v>
      </c>
      <c r="B60" s="45"/>
      <c r="C60" s="45"/>
      <c r="D60" s="45"/>
      <c r="E60" s="45"/>
      <c r="F60" s="39"/>
      <c r="G60" s="39"/>
      <c r="H60" s="39"/>
      <c r="I60" s="39"/>
      <c r="J60" s="39"/>
      <c r="K60" s="39"/>
      <c r="L60" s="39"/>
      <c r="M60" s="39"/>
      <c r="N60" s="39"/>
      <c r="O60" s="39"/>
      <c r="P60" s="39"/>
      <c r="Q60" s="39"/>
      <c r="R60" s="39"/>
      <c r="S60" s="39"/>
      <c r="T60" s="39"/>
      <c r="U60" s="39"/>
      <c r="V60" s="39"/>
      <c r="W60" s="39"/>
      <c r="X60" s="39"/>
      <c r="Y60" s="39"/>
      <c r="Z60" s="39"/>
    </row>
    <row r="61" spans="1:26" ht="15.75">
      <c r="A61" s="51" t="s">
        <v>141</v>
      </c>
      <c r="B61" s="46">
        <v>3</v>
      </c>
      <c r="C61" s="45"/>
      <c r="D61" s="45"/>
      <c r="E61" s="45"/>
      <c r="F61" s="39"/>
      <c r="G61" s="39"/>
      <c r="H61" s="39"/>
      <c r="I61" s="39"/>
      <c r="J61" s="39"/>
      <c r="K61" s="39"/>
      <c r="L61" s="39"/>
      <c r="M61" s="39"/>
      <c r="N61" s="39"/>
      <c r="O61" s="39"/>
      <c r="P61" s="39"/>
      <c r="Q61" s="39"/>
      <c r="R61" s="39"/>
      <c r="S61" s="39"/>
      <c r="T61" s="39"/>
      <c r="U61" s="39"/>
      <c r="V61" s="39"/>
      <c r="W61" s="39"/>
      <c r="X61" s="39"/>
      <c r="Y61" s="39"/>
      <c r="Z61" s="39"/>
    </row>
    <row r="62" spans="1:26" ht="15.75">
      <c r="A62" s="51" t="s">
        <v>142</v>
      </c>
      <c r="B62" s="54">
        <v>2</v>
      </c>
      <c r="C62" s="45"/>
      <c r="D62" s="45"/>
      <c r="E62" s="45"/>
      <c r="F62" s="39"/>
      <c r="G62" s="39"/>
      <c r="H62" s="39"/>
      <c r="I62" s="39"/>
      <c r="J62" s="39"/>
      <c r="K62" s="39"/>
      <c r="L62" s="39"/>
      <c r="M62" s="39"/>
      <c r="N62" s="39"/>
      <c r="O62" s="39"/>
      <c r="P62" s="39"/>
      <c r="Q62" s="39"/>
      <c r="R62" s="39"/>
      <c r="S62" s="39"/>
      <c r="T62" s="39"/>
      <c r="U62" s="39"/>
      <c r="V62" s="39"/>
      <c r="W62" s="39"/>
      <c r="X62" s="39"/>
      <c r="Y62" s="39"/>
      <c r="Z62" s="39"/>
    </row>
    <row r="63" spans="1:26" ht="15.75">
      <c r="A63" s="51" t="s">
        <v>143</v>
      </c>
      <c r="B63" s="54">
        <v>0</v>
      </c>
      <c r="C63" s="45"/>
      <c r="D63" s="45"/>
      <c r="E63" s="45"/>
      <c r="F63" s="39"/>
      <c r="G63" s="39"/>
      <c r="H63" s="39"/>
      <c r="I63" s="39"/>
      <c r="J63" s="39"/>
      <c r="K63" s="39"/>
      <c r="L63" s="39"/>
      <c r="M63" s="39"/>
      <c r="N63" s="39"/>
      <c r="O63" s="39"/>
      <c r="P63" s="39"/>
      <c r="Q63" s="39"/>
      <c r="R63" s="39"/>
      <c r="S63" s="39"/>
      <c r="T63" s="39"/>
      <c r="U63" s="39"/>
      <c r="V63" s="39"/>
      <c r="W63" s="39"/>
      <c r="X63" s="39"/>
      <c r="Y63" s="39"/>
      <c r="Z63" s="39"/>
    </row>
    <row r="64" spans="1:26" ht="31.5">
      <c r="A64" s="55" t="s">
        <v>144</v>
      </c>
      <c r="B64" s="45"/>
      <c r="C64" s="45"/>
      <c r="D64" s="45"/>
      <c r="E64" s="45"/>
      <c r="F64" s="39"/>
      <c r="G64" s="39"/>
      <c r="H64" s="39"/>
      <c r="I64" s="39"/>
      <c r="J64" s="39"/>
      <c r="K64" s="39"/>
      <c r="L64" s="39"/>
      <c r="M64" s="39"/>
      <c r="N64" s="39"/>
      <c r="O64" s="39"/>
      <c r="P64" s="39"/>
      <c r="Q64" s="39"/>
      <c r="R64" s="39"/>
      <c r="S64" s="39"/>
      <c r="T64" s="39"/>
      <c r="U64" s="39"/>
      <c r="V64" s="39"/>
      <c r="W64" s="39"/>
      <c r="X64" s="39"/>
      <c r="Y64" s="39"/>
      <c r="Z64" s="39"/>
    </row>
    <row r="65" spans="1:26" ht="15.75">
      <c r="A65" s="51" t="s">
        <v>145</v>
      </c>
      <c r="B65" s="46">
        <v>5</v>
      </c>
      <c r="C65" s="45"/>
      <c r="D65" s="45"/>
      <c r="E65" s="45"/>
      <c r="F65" s="39"/>
      <c r="G65" s="39"/>
      <c r="H65" s="39"/>
      <c r="I65" s="39"/>
      <c r="J65" s="39"/>
      <c r="K65" s="39"/>
      <c r="L65" s="39"/>
      <c r="M65" s="39"/>
      <c r="N65" s="39"/>
      <c r="O65" s="39"/>
      <c r="P65" s="39"/>
      <c r="Q65" s="39"/>
      <c r="R65" s="39"/>
      <c r="S65" s="39"/>
      <c r="T65" s="39"/>
      <c r="U65" s="39"/>
      <c r="V65" s="39"/>
      <c r="W65" s="39"/>
      <c r="X65" s="39"/>
      <c r="Y65" s="39"/>
      <c r="Z65" s="39"/>
    </row>
    <row r="66" spans="1:26" ht="15.75">
      <c r="A66" s="51" t="s">
        <v>146</v>
      </c>
      <c r="B66" s="54">
        <v>0</v>
      </c>
      <c r="C66" s="45"/>
      <c r="D66" s="45"/>
      <c r="E66" s="45"/>
      <c r="F66" s="39"/>
      <c r="G66" s="39"/>
      <c r="H66" s="39"/>
      <c r="I66" s="39"/>
      <c r="J66" s="39"/>
      <c r="K66" s="39"/>
      <c r="L66" s="39"/>
      <c r="M66" s="39"/>
      <c r="N66" s="39"/>
      <c r="O66" s="39"/>
      <c r="P66" s="39"/>
      <c r="Q66" s="39"/>
      <c r="R66" s="39"/>
      <c r="S66" s="39"/>
      <c r="T66" s="39"/>
      <c r="U66" s="39"/>
      <c r="V66" s="39"/>
      <c r="W66" s="39"/>
      <c r="X66" s="39"/>
      <c r="Y66" s="39"/>
      <c r="Z66" s="39"/>
    </row>
    <row r="67" spans="1:26" ht="33" customHeight="1">
      <c r="A67" s="56" t="s">
        <v>147</v>
      </c>
      <c r="B67" s="45"/>
      <c r="C67" s="45"/>
      <c r="D67" s="45"/>
      <c r="E67" s="45"/>
      <c r="F67" s="39"/>
      <c r="G67" s="39"/>
      <c r="H67" s="39"/>
      <c r="I67" s="39"/>
      <c r="J67" s="39"/>
      <c r="K67" s="39"/>
      <c r="L67" s="39"/>
      <c r="M67" s="39"/>
      <c r="N67" s="39"/>
      <c r="O67" s="39"/>
      <c r="P67" s="39"/>
      <c r="Q67" s="39"/>
      <c r="R67" s="39"/>
      <c r="S67" s="39"/>
      <c r="T67" s="39"/>
      <c r="U67" s="39"/>
      <c r="V67" s="39"/>
      <c r="W67" s="39"/>
      <c r="X67" s="39"/>
      <c r="Y67" s="39"/>
      <c r="Z67" s="39"/>
    </row>
    <row r="68" spans="1:26" ht="47.25">
      <c r="A68" s="58" t="s">
        <v>148</v>
      </c>
      <c r="B68" s="46">
        <v>2</v>
      </c>
      <c r="C68" s="45"/>
      <c r="D68" s="45"/>
      <c r="E68" s="45"/>
      <c r="F68" s="39"/>
      <c r="G68" s="39"/>
      <c r="H68" s="39"/>
      <c r="I68" s="39"/>
      <c r="J68" s="39"/>
      <c r="K68" s="39"/>
      <c r="L68" s="39"/>
      <c r="M68" s="39"/>
      <c r="N68" s="39"/>
      <c r="O68" s="39"/>
      <c r="P68" s="39"/>
      <c r="Q68" s="39"/>
      <c r="R68" s="39"/>
      <c r="S68" s="39"/>
      <c r="T68" s="39"/>
      <c r="U68" s="39"/>
      <c r="V68" s="39"/>
      <c r="W68" s="39"/>
      <c r="X68" s="39"/>
      <c r="Y68" s="39"/>
      <c r="Z68" s="39"/>
    </row>
    <row r="69" spans="1:26" ht="15.75">
      <c r="A69" s="58" t="s">
        <v>149</v>
      </c>
      <c r="B69" s="54">
        <v>1</v>
      </c>
      <c r="C69" s="45"/>
      <c r="D69" s="45"/>
      <c r="E69" s="45"/>
      <c r="F69" s="39"/>
      <c r="G69" s="39"/>
      <c r="H69" s="39"/>
      <c r="I69" s="39"/>
      <c r="J69" s="39"/>
      <c r="K69" s="39"/>
      <c r="L69" s="39"/>
      <c r="M69" s="39"/>
      <c r="N69" s="39"/>
      <c r="O69" s="39"/>
      <c r="P69" s="39"/>
      <c r="Q69" s="39"/>
      <c r="R69" s="39"/>
      <c r="S69" s="39"/>
      <c r="T69" s="39"/>
      <c r="U69" s="39"/>
      <c r="V69" s="39"/>
      <c r="W69" s="39"/>
      <c r="X69" s="39"/>
      <c r="Y69" s="39"/>
      <c r="Z69" s="39"/>
    </row>
    <row r="70" spans="1:26" ht="15.75">
      <c r="A70" s="58" t="s">
        <v>63</v>
      </c>
      <c r="B70" s="54">
        <v>0</v>
      </c>
      <c r="C70" s="45"/>
      <c r="D70" s="45"/>
      <c r="E70" s="45"/>
      <c r="F70" s="39"/>
      <c r="G70" s="39"/>
      <c r="H70" s="39"/>
      <c r="I70" s="39"/>
      <c r="J70" s="39"/>
      <c r="K70" s="39"/>
      <c r="L70" s="39"/>
      <c r="M70" s="39"/>
      <c r="N70" s="39"/>
      <c r="O70" s="39"/>
      <c r="P70" s="39"/>
      <c r="Q70" s="39"/>
      <c r="R70" s="39"/>
      <c r="S70" s="39"/>
      <c r="T70" s="39"/>
      <c r="U70" s="39"/>
      <c r="V70" s="39"/>
      <c r="W70" s="39"/>
      <c r="X70" s="39"/>
      <c r="Y70" s="39"/>
      <c r="Z70" s="39"/>
    </row>
    <row r="71" spans="1:26" ht="30">
      <c r="A71" s="58" t="s">
        <v>293</v>
      </c>
      <c r="B71" s="54">
        <v>-5</v>
      </c>
      <c r="C71" s="45"/>
      <c r="D71" s="45"/>
      <c r="E71" s="45"/>
      <c r="F71" s="39"/>
      <c r="G71" s="39"/>
      <c r="H71" s="39"/>
      <c r="I71" s="39"/>
      <c r="J71" s="39"/>
      <c r="K71" s="39"/>
      <c r="L71" s="39"/>
      <c r="M71" s="39"/>
      <c r="N71" s="39"/>
      <c r="O71" s="39"/>
      <c r="P71" s="39"/>
      <c r="Q71" s="39"/>
      <c r="R71" s="39"/>
      <c r="S71" s="39"/>
      <c r="T71" s="39"/>
      <c r="U71" s="39"/>
      <c r="V71" s="39"/>
      <c r="W71" s="39"/>
      <c r="X71" s="39"/>
      <c r="Y71" s="39"/>
      <c r="Z71" s="39"/>
    </row>
    <row r="72" spans="1:26" ht="15.75">
      <c r="A72" s="60" t="s">
        <v>151</v>
      </c>
      <c r="B72" s="46"/>
      <c r="C72" s="45"/>
      <c r="D72" s="45"/>
      <c r="E72" s="45"/>
      <c r="F72" s="39"/>
      <c r="G72" s="39"/>
      <c r="H72" s="39"/>
      <c r="I72" s="39"/>
      <c r="J72" s="39"/>
      <c r="K72" s="39"/>
      <c r="L72" s="39"/>
      <c r="M72" s="39"/>
      <c r="N72" s="39"/>
      <c r="O72" s="39"/>
      <c r="P72" s="39"/>
      <c r="Q72" s="39"/>
      <c r="R72" s="39"/>
      <c r="S72" s="39"/>
      <c r="T72" s="39"/>
      <c r="U72" s="39"/>
      <c r="V72" s="39"/>
      <c r="W72" s="39"/>
      <c r="X72" s="39"/>
      <c r="Y72" s="39"/>
      <c r="Z72" s="39"/>
    </row>
    <row r="73" spans="1:26" ht="15.75">
      <c r="A73" s="62" t="s">
        <v>152</v>
      </c>
      <c r="B73" s="46">
        <v>5</v>
      </c>
      <c r="C73" s="45"/>
      <c r="D73" s="45"/>
      <c r="E73" s="45"/>
      <c r="F73" s="39"/>
      <c r="G73" s="39"/>
      <c r="H73" s="39"/>
      <c r="I73" s="39"/>
      <c r="J73" s="39"/>
      <c r="K73" s="39"/>
      <c r="L73" s="39"/>
      <c r="M73" s="39"/>
      <c r="N73" s="39"/>
      <c r="O73" s="39"/>
      <c r="P73" s="39"/>
      <c r="Q73" s="39"/>
      <c r="R73" s="39"/>
      <c r="S73" s="39"/>
      <c r="T73" s="39"/>
      <c r="U73" s="39"/>
      <c r="V73" s="39"/>
      <c r="W73" s="39"/>
      <c r="X73" s="39"/>
      <c r="Y73" s="39"/>
      <c r="Z73" s="39"/>
    </row>
    <row r="74" spans="1:26" ht="15.75">
      <c r="A74" s="62" t="s">
        <v>153</v>
      </c>
      <c r="B74" s="54">
        <v>0</v>
      </c>
      <c r="C74" s="45"/>
      <c r="D74" s="45"/>
      <c r="E74" s="45"/>
      <c r="F74" s="39"/>
      <c r="G74" s="39"/>
      <c r="H74" s="39"/>
      <c r="I74" s="39"/>
      <c r="J74" s="39"/>
      <c r="K74" s="39"/>
      <c r="L74" s="39"/>
      <c r="M74" s="39"/>
      <c r="N74" s="39"/>
      <c r="O74" s="39"/>
      <c r="P74" s="39"/>
      <c r="Q74" s="39"/>
      <c r="R74" s="39"/>
      <c r="S74" s="39"/>
      <c r="T74" s="39"/>
      <c r="U74" s="39"/>
      <c r="V74" s="39"/>
      <c r="W74" s="39"/>
      <c r="X74" s="39"/>
      <c r="Y74" s="39"/>
      <c r="Z74" s="39"/>
    </row>
    <row r="75" spans="1:26" ht="15.75">
      <c r="A75" s="51" t="s">
        <v>154</v>
      </c>
      <c r="B75" s="54"/>
      <c r="C75" s="45"/>
      <c r="D75" s="45"/>
      <c r="E75" s="45"/>
      <c r="F75" s="39"/>
      <c r="G75" s="39"/>
      <c r="H75" s="39"/>
      <c r="I75" s="39"/>
      <c r="J75" s="39"/>
      <c r="K75" s="39"/>
      <c r="L75" s="39"/>
      <c r="M75" s="39"/>
      <c r="N75" s="39"/>
      <c r="O75" s="39"/>
      <c r="P75" s="39"/>
      <c r="Q75" s="39"/>
      <c r="R75" s="39"/>
      <c r="S75" s="39"/>
      <c r="T75" s="39"/>
      <c r="U75" s="39"/>
      <c r="V75" s="39"/>
      <c r="W75" s="39"/>
      <c r="X75" s="39"/>
      <c r="Y75" s="39"/>
      <c r="Z75" s="39"/>
    </row>
    <row r="76" spans="1:26" ht="15.75">
      <c r="A76" s="63" t="s">
        <v>68</v>
      </c>
      <c r="B76" s="48">
        <f>SUM(B78,B83,B87,B90,B94,B98,B102,B107,B110,B114)</f>
        <v>40</v>
      </c>
      <c r="C76" s="49"/>
      <c r="D76" s="49"/>
      <c r="E76" s="49"/>
      <c r="F76" s="39"/>
      <c r="G76" s="39"/>
      <c r="H76" s="39"/>
      <c r="I76" s="39"/>
      <c r="J76" s="39"/>
      <c r="K76" s="39"/>
      <c r="L76" s="39"/>
      <c r="M76" s="39"/>
      <c r="N76" s="39"/>
      <c r="O76" s="39"/>
      <c r="P76" s="39"/>
      <c r="Q76" s="39"/>
      <c r="R76" s="39"/>
      <c r="S76" s="39"/>
      <c r="T76" s="39"/>
      <c r="U76" s="39"/>
      <c r="V76" s="39"/>
      <c r="W76" s="39"/>
      <c r="X76" s="39"/>
      <c r="Y76" s="39"/>
      <c r="Z76" s="39"/>
    </row>
    <row r="77" spans="1:26" ht="15.75">
      <c r="A77" s="50" t="s">
        <v>294</v>
      </c>
      <c r="B77" s="45"/>
      <c r="C77" s="45"/>
      <c r="D77" s="45"/>
      <c r="E77" s="45"/>
      <c r="F77" s="39"/>
      <c r="G77" s="39"/>
      <c r="H77" s="39"/>
      <c r="I77" s="39"/>
      <c r="J77" s="39"/>
      <c r="K77" s="39"/>
      <c r="L77" s="39"/>
      <c r="M77" s="39"/>
      <c r="N77" s="39"/>
      <c r="O77" s="39"/>
      <c r="P77" s="39"/>
      <c r="Q77" s="39"/>
      <c r="R77" s="39"/>
      <c r="S77" s="39"/>
      <c r="T77" s="39"/>
      <c r="U77" s="39"/>
      <c r="V77" s="39"/>
      <c r="W77" s="39"/>
      <c r="X77" s="39"/>
      <c r="Y77" s="39"/>
      <c r="Z77" s="39"/>
    </row>
    <row r="78" spans="1:26" ht="15.75">
      <c r="A78" s="51" t="s">
        <v>74</v>
      </c>
      <c r="B78" s="46">
        <v>3</v>
      </c>
      <c r="C78" s="45"/>
      <c r="D78" s="45"/>
      <c r="E78" s="45"/>
      <c r="F78" s="39"/>
      <c r="G78" s="39"/>
      <c r="H78" s="39"/>
      <c r="I78" s="39"/>
      <c r="J78" s="39"/>
      <c r="K78" s="39"/>
      <c r="L78" s="39"/>
      <c r="M78" s="39"/>
      <c r="N78" s="39"/>
      <c r="O78" s="39"/>
      <c r="P78" s="39"/>
      <c r="Q78" s="39"/>
      <c r="R78" s="39"/>
      <c r="S78" s="39"/>
      <c r="T78" s="39"/>
      <c r="U78" s="39"/>
      <c r="V78" s="39"/>
      <c r="W78" s="39"/>
      <c r="X78" s="39"/>
      <c r="Y78" s="39"/>
      <c r="Z78" s="39"/>
    </row>
    <row r="79" spans="1:26" ht="15.75">
      <c r="A79" s="51" t="s">
        <v>156</v>
      </c>
      <c r="B79" s="54">
        <v>2</v>
      </c>
      <c r="C79" s="45"/>
      <c r="D79" s="45"/>
      <c r="E79" s="45"/>
      <c r="F79" s="39"/>
      <c r="G79" s="39"/>
      <c r="H79" s="39"/>
      <c r="I79" s="39"/>
      <c r="J79" s="39"/>
      <c r="K79" s="39"/>
      <c r="L79" s="39"/>
      <c r="M79" s="39"/>
      <c r="N79" s="39"/>
      <c r="O79" s="39"/>
      <c r="P79" s="39"/>
      <c r="Q79" s="39"/>
      <c r="R79" s="39"/>
      <c r="S79" s="39"/>
      <c r="T79" s="39"/>
      <c r="U79" s="39"/>
      <c r="V79" s="39"/>
      <c r="W79" s="39"/>
      <c r="X79" s="39"/>
      <c r="Y79" s="39"/>
      <c r="Z79" s="39"/>
    </row>
    <row r="80" spans="1:26" ht="15.75">
      <c r="A80" s="51" t="s">
        <v>157</v>
      </c>
      <c r="B80" s="54">
        <v>0</v>
      </c>
      <c r="C80" s="45"/>
      <c r="D80" s="45"/>
      <c r="E80" s="45"/>
      <c r="F80" s="39"/>
      <c r="G80" s="39"/>
      <c r="H80" s="39"/>
      <c r="I80" s="39"/>
      <c r="J80" s="39"/>
      <c r="K80" s="39"/>
      <c r="L80" s="39"/>
      <c r="M80" s="39"/>
      <c r="N80" s="39"/>
      <c r="O80" s="39"/>
      <c r="P80" s="39"/>
      <c r="Q80" s="39"/>
      <c r="R80" s="39"/>
      <c r="S80" s="39"/>
      <c r="T80" s="39"/>
      <c r="U80" s="39"/>
      <c r="V80" s="39"/>
      <c r="W80" s="39"/>
      <c r="X80" s="39"/>
      <c r="Y80" s="39"/>
      <c r="Z80" s="39"/>
    </row>
    <row r="81" spans="1:26" ht="15.75">
      <c r="A81" s="51" t="s">
        <v>158</v>
      </c>
      <c r="B81" s="54">
        <v>-5</v>
      </c>
      <c r="C81" s="45"/>
      <c r="D81" s="45"/>
      <c r="E81" s="45"/>
      <c r="F81" s="39"/>
      <c r="G81" s="39"/>
      <c r="H81" s="39"/>
      <c r="I81" s="39"/>
      <c r="J81" s="39"/>
      <c r="K81" s="39"/>
      <c r="L81" s="39"/>
      <c r="M81" s="39"/>
      <c r="N81" s="39"/>
      <c r="O81" s="39"/>
      <c r="P81" s="39"/>
      <c r="Q81" s="39"/>
      <c r="R81" s="39"/>
      <c r="S81" s="39"/>
      <c r="T81" s="39"/>
      <c r="U81" s="39"/>
      <c r="V81" s="39"/>
      <c r="W81" s="39"/>
      <c r="X81" s="39"/>
      <c r="Y81" s="39"/>
      <c r="Z81" s="39"/>
    </row>
    <row r="82" spans="1:26" ht="15.75">
      <c r="A82" s="50" t="s">
        <v>295</v>
      </c>
      <c r="B82" s="45"/>
      <c r="C82" s="45"/>
      <c r="D82" s="45"/>
      <c r="E82" s="45"/>
      <c r="F82" s="39"/>
      <c r="G82" s="39"/>
      <c r="H82" s="39"/>
      <c r="I82" s="39"/>
      <c r="J82" s="39"/>
      <c r="K82" s="39"/>
      <c r="L82" s="39"/>
      <c r="M82" s="39"/>
      <c r="N82" s="39"/>
      <c r="O82" s="39"/>
      <c r="P82" s="39"/>
      <c r="Q82" s="39"/>
      <c r="R82" s="39"/>
      <c r="S82" s="39"/>
      <c r="T82" s="39"/>
      <c r="U82" s="39"/>
      <c r="V82" s="39"/>
      <c r="W82" s="39"/>
      <c r="X82" s="39"/>
      <c r="Y82" s="39"/>
      <c r="Z82" s="39"/>
    </row>
    <row r="83" spans="1:26" ht="15.75">
      <c r="A83" s="51" t="s">
        <v>78</v>
      </c>
      <c r="B83" s="46">
        <v>5</v>
      </c>
      <c r="C83" s="45"/>
      <c r="D83" s="45"/>
      <c r="E83" s="45"/>
      <c r="F83" s="39"/>
      <c r="G83" s="39"/>
      <c r="H83" s="39"/>
      <c r="I83" s="39"/>
      <c r="J83" s="39"/>
      <c r="K83" s="39"/>
      <c r="L83" s="39"/>
      <c r="M83" s="39"/>
      <c r="N83" s="39"/>
      <c r="O83" s="39"/>
      <c r="P83" s="39"/>
      <c r="Q83" s="39"/>
      <c r="R83" s="39"/>
      <c r="S83" s="39"/>
      <c r="T83" s="39"/>
      <c r="U83" s="39"/>
      <c r="V83" s="39"/>
      <c r="W83" s="39"/>
      <c r="X83" s="39"/>
      <c r="Y83" s="39"/>
      <c r="Z83" s="39"/>
    </row>
    <row r="84" spans="1:26" ht="15.75">
      <c r="A84" s="51" t="s">
        <v>79</v>
      </c>
      <c r="B84" s="54">
        <v>3</v>
      </c>
      <c r="C84" s="45"/>
      <c r="D84" s="45"/>
      <c r="E84" s="45"/>
      <c r="F84" s="39"/>
      <c r="G84" s="39"/>
      <c r="H84" s="39"/>
      <c r="I84" s="39"/>
      <c r="J84" s="39"/>
      <c r="K84" s="39"/>
      <c r="L84" s="39"/>
      <c r="M84" s="39"/>
      <c r="N84" s="39"/>
      <c r="O84" s="39"/>
      <c r="P84" s="39"/>
      <c r="Q84" s="39"/>
      <c r="R84" s="39"/>
      <c r="S84" s="39"/>
      <c r="T84" s="39"/>
      <c r="U84" s="39"/>
      <c r="V84" s="39"/>
      <c r="W84" s="39"/>
      <c r="X84" s="39"/>
      <c r="Y84" s="39"/>
      <c r="Z84" s="39"/>
    </row>
    <row r="85" spans="1:26" ht="15.75">
      <c r="A85" s="51" t="s">
        <v>160</v>
      </c>
      <c r="B85" s="54">
        <v>0</v>
      </c>
      <c r="C85" s="45"/>
      <c r="D85" s="45"/>
      <c r="E85" s="45"/>
      <c r="F85" s="39"/>
      <c r="G85" s="39"/>
      <c r="H85" s="39"/>
      <c r="I85" s="39"/>
      <c r="J85" s="39"/>
      <c r="K85" s="39"/>
      <c r="L85" s="39"/>
      <c r="M85" s="39"/>
      <c r="N85" s="39"/>
      <c r="O85" s="39"/>
      <c r="P85" s="39"/>
      <c r="Q85" s="39"/>
      <c r="R85" s="39"/>
      <c r="S85" s="39"/>
      <c r="T85" s="39"/>
      <c r="U85" s="39"/>
      <c r="V85" s="39"/>
      <c r="W85" s="39"/>
      <c r="X85" s="39"/>
      <c r="Y85" s="39"/>
      <c r="Z85" s="39"/>
    </row>
    <row r="86" spans="1:26" ht="15.75">
      <c r="A86" s="55" t="s">
        <v>81</v>
      </c>
      <c r="B86" s="45"/>
      <c r="C86" s="45"/>
      <c r="D86" s="45"/>
      <c r="E86" s="45"/>
      <c r="F86" s="39"/>
      <c r="G86" s="39"/>
      <c r="H86" s="39"/>
      <c r="I86" s="39"/>
      <c r="J86" s="39"/>
      <c r="K86" s="39"/>
      <c r="L86" s="39"/>
      <c r="M86" s="39"/>
      <c r="N86" s="39"/>
      <c r="O86" s="39"/>
      <c r="P86" s="39"/>
      <c r="Q86" s="39"/>
      <c r="R86" s="39"/>
      <c r="S86" s="39"/>
      <c r="T86" s="39"/>
      <c r="U86" s="39"/>
      <c r="V86" s="39"/>
      <c r="W86" s="39"/>
      <c r="X86" s="39"/>
      <c r="Y86" s="39"/>
      <c r="Z86" s="39"/>
    </row>
    <row r="87" spans="1:26" ht="31.5">
      <c r="A87" s="51" t="s">
        <v>161</v>
      </c>
      <c r="B87" s="46">
        <v>3</v>
      </c>
      <c r="C87" s="45"/>
      <c r="D87" s="45"/>
      <c r="E87" s="45"/>
      <c r="F87" s="39"/>
      <c r="G87" s="39"/>
      <c r="H87" s="39"/>
      <c r="I87" s="39"/>
      <c r="J87" s="39"/>
      <c r="K87" s="39"/>
      <c r="L87" s="39"/>
      <c r="M87" s="39"/>
      <c r="N87" s="39"/>
      <c r="O87" s="39"/>
      <c r="P87" s="39"/>
      <c r="Q87" s="39"/>
      <c r="R87" s="39"/>
      <c r="S87" s="39"/>
      <c r="T87" s="39"/>
      <c r="U87" s="39"/>
      <c r="V87" s="39"/>
      <c r="W87" s="39"/>
      <c r="X87" s="39"/>
      <c r="Y87" s="39"/>
      <c r="Z87" s="39"/>
    </row>
    <row r="88" spans="1:26" ht="15.75">
      <c r="A88" s="51" t="s">
        <v>162</v>
      </c>
      <c r="B88" s="54">
        <v>0</v>
      </c>
      <c r="C88" s="45"/>
      <c r="D88" s="45"/>
      <c r="E88" s="45"/>
      <c r="F88" s="39"/>
      <c r="G88" s="39"/>
      <c r="H88" s="39"/>
      <c r="I88" s="39"/>
      <c r="J88" s="39"/>
      <c r="K88" s="39"/>
      <c r="L88" s="39"/>
      <c r="M88" s="39"/>
      <c r="N88" s="39"/>
      <c r="O88" s="39"/>
      <c r="P88" s="39"/>
      <c r="Q88" s="39"/>
      <c r="R88" s="39"/>
      <c r="S88" s="39"/>
      <c r="T88" s="39"/>
      <c r="U88" s="39"/>
      <c r="V88" s="39"/>
      <c r="W88" s="39"/>
      <c r="X88" s="39"/>
      <c r="Y88" s="39"/>
      <c r="Z88" s="39"/>
    </row>
    <row r="89" spans="1:26" ht="15.75">
      <c r="A89" s="50" t="s">
        <v>163</v>
      </c>
      <c r="B89" s="45"/>
      <c r="C89" s="45"/>
      <c r="D89" s="45"/>
      <c r="E89" s="45"/>
      <c r="F89" s="39"/>
      <c r="G89" s="39"/>
      <c r="H89" s="39"/>
      <c r="I89" s="39"/>
      <c r="J89" s="39"/>
      <c r="K89" s="39"/>
      <c r="L89" s="39"/>
      <c r="M89" s="39"/>
      <c r="N89" s="39"/>
      <c r="O89" s="39"/>
      <c r="P89" s="39"/>
      <c r="Q89" s="39"/>
      <c r="R89" s="39"/>
      <c r="S89" s="39"/>
      <c r="T89" s="39"/>
      <c r="U89" s="39"/>
      <c r="V89" s="39"/>
      <c r="W89" s="39"/>
      <c r="X89" s="39"/>
      <c r="Y89" s="39"/>
      <c r="Z89" s="39"/>
    </row>
    <row r="90" spans="1:26" ht="15.75">
      <c r="A90" s="51" t="s">
        <v>70</v>
      </c>
      <c r="B90" s="46">
        <v>3</v>
      </c>
      <c r="C90" s="45"/>
      <c r="D90" s="45"/>
      <c r="E90" s="45"/>
      <c r="F90" s="39"/>
      <c r="G90" s="39"/>
      <c r="H90" s="39"/>
      <c r="I90" s="39"/>
      <c r="J90" s="39"/>
      <c r="K90" s="39"/>
      <c r="L90" s="39"/>
      <c r="M90" s="39"/>
      <c r="N90" s="39"/>
      <c r="O90" s="39"/>
      <c r="P90" s="39"/>
      <c r="Q90" s="39"/>
      <c r="R90" s="39"/>
      <c r="S90" s="39"/>
      <c r="T90" s="39"/>
      <c r="U90" s="39"/>
      <c r="V90" s="39"/>
      <c r="W90" s="39"/>
      <c r="X90" s="39"/>
      <c r="Y90" s="39"/>
      <c r="Z90" s="39"/>
    </row>
    <row r="91" spans="1:26" ht="15.75">
      <c r="A91" s="51" t="s">
        <v>71</v>
      </c>
      <c r="B91" s="54">
        <v>1</v>
      </c>
      <c r="C91" s="45"/>
      <c r="D91" s="45"/>
      <c r="E91" s="45"/>
      <c r="F91" s="39"/>
      <c r="G91" s="39"/>
      <c r="H91" s="39"/>
      <c r="I91" s="39"/>
      <c r="J91" s="39"/>
      <c r="K91" s="39"/>
      <c r="L91" s="39"/>
      <c r="M91" s="39"/>
      <c r="N91" s="39"/>
      <c r="O91" s="39"/>
      <c r="P91" s="39"/>
      <c r="Q91" s="39"/>
      <c r="R91" s="39"/>
      <c r="S91" s="39"/>
      <c r="T91" s="39"/>
      <c r="U91" s="39"/>
      <c r="V91" s="39"/>
      <c r="W91" s="39"/>
      <c r="X91" s="39"/>
      <c r="Y91" s="39"/>
      <c r="Z91" s="39"/>
    </row>
    <row r="92" spans="1:26" ht="15.75">
      <c r="A92" s="51" t="s">
        <v>72</v>
      </c>
      <c r="B92" s="54">
        <v>0</v>
      </c>
      <c r="C92" s="45"/>
      <c r="D92" s="45"/>
      <c r="E92" s="45"/>
      <c r="F92" s="39"/>
      <c r="G92" s="39"/>
      <c r="H92" s="39"/>
      <c r="I92" s="39"/>
      <c r="J92" s="39"/>
      <c r="K92" s="39"/>
      <c r="L92" s="39"/>
      <c r="M92" s="39"/>
      <c r="N92" s="39"/>
      <c r="O92" s="39"/>
      <c r="P92" s="39"/>
      <c r="Q92" s="39"/>
      <c r="R92" s="39"/>
      <c r="S92" s="39"/>
      <c r="T92" s="39"/>
      <c r="U92" s="39"/>
      <c r="V92" s="39"/>
      <c r="W92" s="39"/>
      <c r="X92" s="39"/>
      <c r="Y92" s="39"/>
      <c r="Z92" s="39"/>
    </row>
    <row r="93" spans="1:26" ht="36" customHeight="1">
      <c r="A93" s="55" t="s">
        <v>296</v>
      </c>
      <c r="B93" s="54"/>
      <c r="C93" s="46"/>
      <c r="D93" s="46"/>
      <c r="E93" s="46"/>
      <c r="F93" s="40"/>
      <c r="G93" s="40"/>
      <c r="H93" s="40"/>
      <c r="I93" s="40"/>
      <c r="J93" s="40"/>
      <c r="K93" s="40"/>
      <c r="L93" s="40"/>
      <c r="M93" s="40"/>
      <c r="N93" s="40"/>
      <c r="O93" s="40"/>
      <c r="P93" s="40"/>
      <c r="Q93" s="40"/>
      <c r="R93" s="40"/>
      <c r="S93" s="40"/>
      <c r="T93" s="40"/>
      <c r="U93" s="40"/>
      <c r="V93" s="40"/>
      <c r="W93" s="40"/>
      <c r="X93" s="40"/>
      <c r="Y93" s="40"/>
      <c r="Z93" s="40"/>
    </row>
    <row r="94" spans="1:26" ht="15.75" customHeight="1">
      <c r="A94" s="51" t="s">
        <v>165</v>
      </c>
      <c r="B94" s="46">
        <v>3</v>
      </c>
      <c r="C94" s="46"/>
      <c r="D94" s="46"/>
      <c r="E94" s="46"/>
      <c r="F94" s="40"/>
      <c r="G94" s="40"/>
      <c r="H94" s="40"/>
      <c r="I94" s="40"/>
      <c r="J94" s="40"/>
      <c r="K94" s="40"/>
      <c r="L94" s="40"/>
      <c r="M94" s="40"/>
      <c r="N94" s="40"/>
      <c r="O94" s="40"/>
      <c r="P94" s="40"/>
      <c r="Q94" s="40"/>
      <c r="R94" s="40"/>
      <c r="S94" s="40"/>
      <c r="T94" s="40"/>
      <c r="U94" s="40"/>
      <c r="V94" s="40"/>
      <c r="W94" s="40"/>
      <c r="X94" s="40"/>
      <c r="Y94" s="40"/>
      <c r="Z94" s="40"/>
    </row>
    <row r="95" spans="1:26" ht="15.75" customHeight="1">
      <c r="A95" s="51" t="s">
        <v>166</v>
      </c>
      <c r="B95" s="54">
        <v>1</v>
      </c>
      <c r="C95" s="46"/>
      <c r="D95" s="46"/>
      <c r="E95" s="46"/>
      <c r="F95" s="40"/>
      <c r="G95" s="40"/>
      <c r="H95" s="40"/>
      <c r="I95" s="40"/>
      <c r="J95" s="40"/>
      <c r="K95" s="40"/>
      <c r="L95" s="40"/>
      <c r="M95" s="40"/>
      <c r="N95" s="40"/>
      <c r="O95" s="40"/>
      <c r="P95" s="40"/>
      <c r="Q95" s="40"/>
      <c r="R95" s="40"/>
      <c r="S95" s="40"/>
      <c r="T95" s="40"/>
      <c r="U95" s="40"/>
      <c r="V95" s="40"/>
      <c r="W95" s="40"/>
      <c r="X95" s="40"/>
      <c r="Y95" s="40"/>
      <c r="Z95" s="40"/>
    </row>
    <row r="96" spans="1:26" ht="15.75" customHeight="1">
      <c r="A96" s="51" t="s">
        <v>167</v>
      </c>
      <c r="B96" s="54">
        <v>0</v>
      </c>
      <c r="C96" s="46"/>
      <c r="D96" s="46"/>
      <c r="E96" s="46"/>
      <c r="F96" s="40"/>
      <c r="G96" s="40"/>
      <c r="H96" s="40"/>
      <c r="I96" s="40"/>
      <c r="J96" s="40"/>
      <c r="K96" s="40"/>
      <c r="L96" s="40"/>
      <c r="M96" s="40"/>
      <c r="N96" s="40"/>
      <c r="O96" s="40"/>
      <c r="P96" s="40"/>
      <c r="Q96" s="40"/>
      <c r="R96" s="40"/>
      <c r="S96" s="40"/>
      <c r="T96" s="40"/>
      <c r="U96" s="40"/>
      <c r="V96" s="40"/>
      <c r="W96" s="40"/>
      <c r="X96" s="40"/>
      <c r="Y96" s="40"/>
      <c r="Z96" s="40"/>
    </row>
    <row r="97" spans="1:26" ht="15.75" customHeight="1">
      <c r="A97" s="55" t="s">
        <v>297</v>
      </c>
      <c r="B97" s="54"/>
      <c r="C97" s="46"/>
      <c r="D97" s="46"/>
      <c r="E97" s="46"/>
      <c r="F97" s="40"/>
      <c r="G97" s="40"/>
      <c r="H97" s="40"/>
      <c r="I97" s="40"/>
      <c r="J97" s="40"/>
      <c r="K97" s="40"/>
      <c r="L97" s="40"/>
      <c r="M97" s="40"/>
      <c r="N97" s="40"/>
      <c r="O97" s="40"/>
      <c r="P97" s="40"/>
      <c r="Q97" s="40"/>
      <c r="R97" s="40"/>
      <c r="S97" s="40"/>
      <c r="T97" s="40"/>
      <c r="U97" s="40"/>
      <c r="V97" s="40"/>
      <c r="W97" s="40"/>
      <c r="X97" s="40"/>
      <c r="Y97" s="40"/>
      <c r="Z97" s="40"/>
    </row>
    <row r="98" spans="1:26" ht="15.75" customHeight="1">
      <c r="A98" s="51" t="s">
        <v>169</v>
      </c>
      <c r="B98" s="46">
        <v>3</v>
      </c>
      <c r="C98" s="46"/>
      <c r="D98" s="46"/>
      <c r="E98" s="46"/>
      <c r="F98" s="40"/>
      <c r="G98" s="40"/>
      <c r="H98" s="40"/>
      <c r="I98" s="40"/>
      <c r="J98" s="40"/>
      <c r="K98" s="40"/>
      <c r="L98" s="40"/>
      <c r="M98" s="40"/>
      <c r="N98" s="40"/>
      <c r="O98" s="40"/>
      <c r="P98" s="40"/>
      <c r="Q98" s="40"/>
      <c r="R98" s="40"/>
      <c r="S98" s="40"/>
      <c r="T98" s="40"/>
      <c r="U98" s="40"/>
      <c r="V98" s="40"/>
      <c r="W98" s="40"/>
      <c r="X98" s="40"/>
      <c r="Y98" s="40"/>
      <c r="Z98" s="40"/>
    </row>
    <row r="99" spans="1:26" ht="15.75" customHeight="1">
      <c r="A99" s="51" t="s">
        <v>170</v>
      </c>
      <c r="B99" s="54">
        <v>1</v>
      </c>
      <c r="C99" s="46"/>
      <c r="D99" s="46"/>
      <c r="E99" s="46"/>
      <c r="F99" s="40"/>
      <c r="G99" s="40"/>
      <c r="H99" s="40"/>
      <c r="I99" s="40"/>
      <c r="J99" s="40"/>
      <c r="K99" s="40"/>
      <c r="L99" s="40"/>
      <c r="M99" s="40"/>
      <c r="N99" s="40"/>
      <c r="O99" s="40"/>
      <c r="P99" s="40"/>
      <c r="Q99" s="40"/>
      <c r="R99" s="40"/>
      <c r="S99" s="40"/>
      <c r="T99" s="40"/>
      <c r="U99" s="40"/>
      <c r="V99" s="40"/>
      <c r="W99" s="40"/>
      <c r="X99" s="40"/>
      <c r="Y99" s="40"/>
      <c r="Z99" s="40"/>
    </row>
    <row r="100" spans="1:26" ht="15.75" customHeight="1">
      <c r="A100" s="51" t="s">
        <v>171</v>
      </c>
      <c r="B100" s="54">
        <v>0</v>
      </c>
      <c r="C100" s="46"/>
      <c r="D100" s="46"/>
      <c r="E100" s="46"/>
      <c r="F100" s="40"/>
      <c r="G100" s="40"/>
      <c r="H100" s="40"/>
      <c r="I100" s="40"/>
      <c r="J100" s="40"/>
      <c r="K100" s="40"/>
      <c r="L100" s="40"/>
      <c r="M100" s="40"/>
      <c r="N100" s="40"/>
      <c r="O100" s="40"/>
      <c r="P100" s="40"/>
      <c r="Q100" s="40"/>
      <c r="R100" s="40"/>
      <c r="S100" s="40"/>
      <c r="T100" s="40"/>
      <c r="U100" s="40"/>
      <c r="V100" s="40"/>
      <c r="W100" s="40"/>
      <c r="X100" s="40"/>
      <c r="Y100" s="40"/>
      <c r="Z100" s="40"/>
    </row>
    <row r="101" spans="1:26" ht="34.5" customHeight="1">
      <c r="A101" s="55" t="s">
        <v>172</v>
      </c>
      <c r="B101" s="54"/>
      <c r="C101" s="46"/>
      <c r="D101" s="46"/>
      <c r="E101" s="46"/>
      <c r="F101" s="40"/>
      <c r="G101" s="40"/>
      <c r="H101" s="40"/>
      <c r="I101" s="40"/>
      <c r="J101" s="40"/>
      <c r="K101" s="40"/>
      <c r="L101" s="40"/>
      <c r="M101" s="40"/>
      <c r="N101" s="40"/>
      <c r="O101" s="40"/>
      <c r="P101" s="40"/>
      <c r="Q101" s="40"/>
      <c r="R101" s="40"/>
      <c r="S101" s="40"/>
      <c r="T101" s="40"/>
      <c r="U101" s="40"/>
      <c r="V101" s="40"/>
      <c r="W101" s="40"/>
      <c r="X101" s="40"/>
      <c r="Y101" s="40"/>
      <c r="Z101" s="40"/>
    </row>
    <row r="102" spans="1:26" ht="40.5" customHeight="1">
      <c r="A102" s="55" t="s">
        <v>298</v>
      </c>
      <c r="B102" s="46">
        <v>5</v>
      </c>
      <c r="C102" s="46"/>
      <c r="D102" s="46"/>
      <c r="E102" s="46"/>
      <c r="F102" s="40"/>
      <c r="G102" s="40"/>
      <c r="H102" s="40"/>
      <c r="I102" s="40"/>
      <c r="J102" s="40"/>
      <c r="K102" s="40"/>
      <c r="L102" s="40"/>
      <c r="M102" s="40"/>
      <c r="N102" s="40"/>
      <c r="O102" s="40"/>
      <c r="P102" s="40"/>
      <c r="Q102" s="40"/>
      <c r="R102" s="40"/>
      <c r="S102" s="40"/>
      <c r="T102" s="40"/>
      <c r="U102" s="40"/>
      <c r="V102" s="40"/>
      <c r="W102" s="40"/>
      <c r="X102" s="40"/>
      <c r="Y102" s="40"/>
      <c r="Z102" s="40"/>
    </row>
    <row r="103" spans="1:26" ht="38.25" customHeight="1">
      <c r="A103" s="51" t="s">
        <v>174</v>
      </c>
      <c r="B103" s="54">
        <v>3</v>
      </c>
      <c r="C103" s="46"/>
      <c r="D103" s="46"/>
      <c r="E103" s="46"/>
      <c r="F103" s="40"/>
      <c r="G103" s="40"/>
      <c r="H103" s="40"/>
      <c r="I103" s="40"/>
      <c r="J103" s="40"/>
      <c r="K103" s="40"/>
      <c r="L103" s="40"/>
      <c r="M103" s="40"/>
      <c r="N103" s="40"/>
      <c r="O103" s="40"/>
      <c r="P103" s="40"/>
      <c r="Q103" s="40"/>
      <c r="R103" s="40"/>
      <c r="S103" s="40"/>
      <c r="T103" s="40"/>
      <c r="U103" s="40"/>
      <c r="V103" s="40"/>
      <c r="W103" s="40"/>
      <c r="X103" s="40"/>
      <c r="Y103" s="40"/>
      <c r="Z103" s="40"/>
    </row>
    <row r="104" spans="1:26" ht="33.75" customHeight="1">
      <c r="A104" s="51" t="s">
        <v>175</v>
      </c>
      <c r="B104" s="54">
        <v>0</v>
      </c>
      <c r="C104" s="46"/>
      <c r="D104" s="46"/>
      <c r="E104" s="46"/>
      <c r="F104" s="40"/>
      <c r="G104" s="40"/>
      <c r="H104" s="40"/>
      <c r="I104" s="40"/>
      <c r="J104" s="40"/>
      <c r="K104" s="40"/>
      <c r="L104" s="40"/>
      <c r="M104" s="40"/>
      <c r="N104" s="40"/>
      <c r="O104" s="40"/>
      <c r="P104" s="40"/>
      <c r="Q104" s="40"/>
      <c r="R104" s="40"/>
      <c r="S104" s="40"/>
      <c r="T104" s="40"/>
      <c r="U104" s="40"/>
      <c r="V104" s="40"/>
      <c r="W104" s="40"/>
      <c r="X104" s="40"/>
      <c r="Y104" s="40"/>
      <c r="Z104" s="40"/>
    </row>
    <row r="105" spans="1:26" ht="25.5" customHeight="1">
      <c r="A105" s="51" t="s">
        <v>176</v>
      </c>
      <c r="B105" s="54">
        <v>-5</v>
      </c>
      <c r="C105" s="46"/>
      <c r="D105" s="46"/>
      <c r="E105" s="46"/>
      <c r="F105" s="40"/>
      <c r="G105" s="40"/>
      <c r="H105" s="40"/>
      <c r="I105" s="40"/>
      <c r="J105" s="40"/>
      <c r="K105" s="40"/>
      <c r="L105" s="40"/>
      <c r="M105" s="40"/>
      <c r="N105" s="40"/>
      <c r="O105" s="40"/>
      <c r="P105" s="40"/>
      <c r="Q105" s="40"/>
      <c r="R105" s="40"/>
      <c r="S105" s="40"/>
      <c r="T105" s="40"/>
      <c r="U105" s="40"/>
      <c r="V105" s="40"/>
      <c r="W105" s="40"/>
      <c r="X105" s="40"/>
      <c r="Y105" s="40"/>
      <c r="Z105" s="40"/>
    </row>
    <row r="106" spans="1:26" ht="15.75" customHeight="1">
      <c r="A106" s="55" t="s">
        <v>177</v>
      </c>
      <c r="B106" s="54"/>
      <c r="C106" s="46"/>
      <c r="D106" s="46"/>
      <c r="E106" s="46"/>
      <c r="F106" s="40"/>
      <c r="G106" s="40"/>
      <c r="H106" s="40"/>
      <c r="I106" s="40"/>
      <c r="J106" s="40"/>
      <c r="K106" s="40"/>
      <c r="L106" s="40"/>
      <c r="M106" s="40"/>
      <c r="N106" s="40"/>
      <c r="O106" s="40"/>
      <c r="P106" s="40"/>
      <c r="Q106" s="40"/>
      <c r="R106" s="40"/>
      <c r="S106" s="40"/>
      <c r="T106" s="40"/>
      <c r="U106" s="40"/>
      <c r="V106" s="40"/>
      <c r="W106" s="40"/>
      <c r="X106" s="40"/>
      <c r="Y106" s="40"/>
      <c r="Z106" s="40"/>
    </row>
    <row r="107" spans="1:26" ht="21.75" customHeight="1">
      <c r="A107" s="51" t="s">
        <v>178</v>
      </c>
      <c r="B107" s="46">
        <v>2</v>
      </c>
      <c r="C107" s="46"/>
      <c r="D107" s="46"/>
      <c r="E107" s="46"/>
      <c r="F107" s="40"/>
      <c r="G107" s="40"/>
      <c r="H107" s="40"/>
      <c r="I107" s="40"/>
      <c r="J107" s="40"/>
      <c r="K107" s="40"/>
      <c r="L107" s="40"/>
      <c r="M107" s="40"/>
      <c r="N107" s="40"/>
      <c r="O107" s="40"/>
      <c r="P107" s="40"/>
      <c r="Q107" s="40"/>
      <c r="R107" s="40"/>
      <c r="S107" s="40"/>
      <c r="T107" s="40"/>
      <c r="U107" s="40"/>
      <c r="V107" s="40"/>
      <c r="W107" s="40"/>
      <c r="X107" s="40"/>
      <c r="Y107" s="40"/>
      <c r="Z107" s="40"/>
    </row>
    <row r="108" spans="1:26" ht="21.75" customHeight="1">
      <c r="A108" s="51" t="s">
        <v>179</v>
      </c>
      <c r="B108" s="54">
        <v>0</v>
      </c>
      <c r="C108" s="46"/>
      <c r="D108" s="46"/>
      <c r="E108" s="46"/>
      <c r="F108" s="40"/>
      <c r="G108" s="40"/>
      <c r="H108" s="40"/>
      <c r="I108" s="40"/>
      <c r="J108" s="40"/>
      <c r="K108" s="40"/>
      <c r="L108" s="40"/>
      <c r="M108" s="40"/>
      <c r="N108" s="40"/>
      <c r="O108" s="40"/>
      <c r="P108" s="40"/>
      <c r="Q108" s="40"/>
      <c r="R108" s="40"/>
      <c r="S108" s="40"/>
      <c r="T108" s="40"/>
      <c r="U108" s="40"/>
      <c r="V108" s="40"/>
      <c r="W108" s="40"/>
      <c r="X108" s="40"/>
      <c r="Y108" s="40"/>
      <c r="Z108" s="40"/>
    </row>
    <row r="109" spans="1:26" ht="15.75" customHeight="1">
      <c r="A109" s="55" t="s">
        <v>180</v>
      </c>
      <c r="B109" s="45"/>
      <c r="C109" s="46"/>
      <c r="D109" s="46"/>
      <c r="E109" s="46"/>
      <c r="F109" s="40"/>
      <c r="G109" s="40"/>
      <c r="H109" s="40"/>
      <c r="I109" s="40"/>
      <c r="J109" s="40"/>
      <c r="K109" s="40"/>
      <c r="L109" s="40"/>
      <c r="M109" s="40"/>
      <c r="N109" s="40"/>
      <c r="O109" s="40"/>
      <c r="P109" s="40"/>
      <c r="Q109" s="40"/>
      <c r="R109" s="40"/>
      <c r="S109" s="40"/>
      <c r="T109" s="40"/>
      <c r="U109" s="40"/>
      <c r="V109" s="40"/>
      <c r="W109" s="40"/>
      <c r="X109" s="40"/>
      <c r="Y109" s="40"/>
      <c r="Z109" s="40"/>
    </row>
    <row r="110" spans="1:26" ht="15.75" customHeight="1">
      <c r="A110" s="51" t="s">
        <v>181</v>
      </c>
      <c r="B110" s="46">
        <v>6</v>
      </c>
      <c r="C110" s="46"/>
      <c r="D110" s="46"/>
      <c r="E110" s="46"/>
      <c r="F110" s="40"/>
      <c r="G110" s="40"/>
      <c r="H110" s="40"/>
      <c r="I110" s="40"/>
      <c r="J110" s="40"/>
      <c r="K110" s="40"/>
      <c r="L110" s="40"/>
      <c r="M110" s="40"/>
      <c r="N110" s="40"/>
      <c r="O110" s="40"/>
      <c r="P110" s="40"/>
      <c r="Q110" s="40"/>
      <c r="R110" s="40"/>
      <c r="S110" s="40"/>
      <c r="T110" s="40"/>
      <c r="U110" s="40"/>
      <c r="V110" s="40"/>
      <c r="W110" s="40"/>
      <c r="X110" s="40"/>
      <c r="Y110" s="40"/>
      <c r="Z110" s="40"/>
    </row>
    <row r="111" spans="1:26" ht="15.75" customHeight="1">
      <c r="A111" s="51" t="s">
        <v>87</v>
      </c>
      <c r="B111" s="54">
        <v>3</v>
      </c>
      <c r="C111" s="46"/>
      <c r="D111" s="46"/>
      <c r="E111" s="46"/>
      <c r="F111" s="40"/>
      <c r="G111" s="40"/>
      <c r="H111" s="40"/>
      <c r="I111" s="40"/>
      <c r="J111" s="40"/>
      <c r="K111" s="40"/>
      <c r="L111" s="40"/>
      <c r="M111" s="40"/>
      <c r="N111" s="40"/>
      <c r="O111" s="40"/>
      <c r="P111" s="40"/>
      <c r="Q111" s="40"/>
      <c r="R111" s="40"/>
      <c r="S111" s="40"/>
      <c r="T111" s="40"/>
      <c r="U111" s="40"/>
      <c r="V111" s="40"/>
      <c r="W111" s="40"/>
      <c r="X111" s="40"/>
      <c r="Y111" s="40"/>
      <c r="Z111" s="40"/>
    </row>
    <row r="112" spans="1:26" ht="15.75" customHeight="1">
      <c r="A112" s="51" t="s">
        <v>88</v>
      </c>
      <c r="B112" s="54">
        <v>0</v>
      </c>
      <c r="C112" s="46"/>
      <c r="D112" s="46"/>
      <c r="E112" s="46"/>
      <c r="F112" s="40"/>
      <c r="G112" s="40"/>
      <c r="H112" s="40"/>
      <c r="I112" s="40"/>
      <c r="J112" s="40"/>
      <c r="K112" s="40"/>
      <c r="L112" s="40"/>
      <c r="M112" s="40"/>
      <c r="N112" s="40"/>
      <c r="O112" s="40"/>
      <c r="P112" s="40"/>
      <c r="Q112" s="40"/>
      <c r="R112" s="40"/>
      <c r="S112" s="40"/>
      <c r="T112" s="40"/>
      <c r="U112" s="40"/>
      <c r="V112" s="40"/>
      <c r="W112" s="40"/>
      <c r="X112" s="40"/>
      <c r="Y112" s="40"/>
      <c r="Z112" s="40"/>
    </row>
    <row r="113" spans="1:26" ht="15.75" customHeight="1">
      <c r="A113" s="64" t="s">
        <v>182</v>
      </c>
      <c r="B113" s="54"/>
      <c r="C113" s="46"/>
      <c r="D113" s="46"/>
      <c r="E113" s="46"/>
      <c r="F113" s="40"/>
      <c r="G113" s="40"/>
      <c r="H113" s="40"/>
      <c r="I113" s="40"/>
      <c r="J113" s="40"/>
      <c r="K113" s="40"/>
      <c r="L113" s="40"/>
      <c r="M113" s="40"/>
      <c r="N113" s="40"/>
      <c r="O113" s="40"/>
      <c r="P113" s="40"/>
      <c r="Q113" s="40"/>
      <c r="R113" s="40"/>
      <c r="S113" s="40"/>
      <c r="T113" s="40"/>
      <c r="U113" s="40"/>
      <c r="V113" s="40"/>
      <c r="W113" s="40"/>
      <c r="X113" s="40"/>
      <c r="Y113" s="40"/>
      <c r="Z113" s="40"/>
    </row>
    <row r="114" spans="1:26" ht="15.75" customHeight="1">
      <c r="A114" s="65" t="s">
        <v>183</v>
      </c>
      <c r="B114" s="54">
        <v>7</v>
      </c>
      <c r="C114" s="46"/>
      <c r="D114" s="46"/>
      <c r="E114" s="46"/>
      <c r="F114" s="40"/>
      <c r="G114" s="40"/>
      <c r="H114" s="40"/>
      <c r="I114" s="40"/>
      <c r="J114" s="40"/>
      <c r="K114" s="40"/>
      <c r="L114" s="40"/>
      <c r="M114" s="40"/>
      <c r="N114" s="40"/>
      <c r="O114" s="40"/>
      <c r="P114" s="40"/>
      <c r="Q114" s="40"/>
      <c r="R114" s="40"/>
      <c r="S114" s="40"/>
      <c r="T114" s="40"/>
      <c r="U114" s="40"/>
      <c r="V114" s="40"/>
      <c r="W114" s="40"/>
      <c r="X114" s="40"/>
      <c r="Y114" s="40"/>
      <c r="Z114" s="40"/>
    </row>
    <row r="115" spans="1:26" ht="15.75" customHeight="1">
      <c r="A115" s="65" t="s">
        <v>184</v>
      </c>
      <c r="B115" s="54">
        <v>5</v>
      </c>
      <c r="C115" s="46"/>
      <c r="D115" s="46"/>
      <c r="E115" s="46"/>
      <c r="F115" s="40"/>
      <c r="G115" s="40"/>
      <c r="H115" s="40"/>
      <c r="I115" s="40"/>
      <c r="J115" s="40"/>
      <c r="K115" s="40"/>
      <c r="L115" s="40"/>
      <c r="M115" s="40"/>
      <c r="N115" s="40"/>
      <c r="O115" s="40"/>
      <c r="P115" s="40"/>
      <c r="Q115" s="40"/>
      <c r="R115" s="40"/>
      <c r="S115" s="40"/>
      <c r="T115" s="40"/>
      <c r="U115" s="40"/>
      <c r="V115" s="40"/>
      <c r="W115" s="40"/>
      <c r="X115" s="40"/>
      <c r="Y115" s="40"/>
      <c r="Z115" s="40"/>
    </row>
    <row r="116" spans="1:26" ht="15.75" customHeight="1">
      <c r="A116" s="65" t="s">
        <v>185</v>
      </c>
      <c r="B116" s="54">
        <v>0</v>
      </c>
      <c r="C116" s="46"/>
      <c r="D116" s="46"/>
      <c r="E116" s="46"/>
      <c r="F116" s="40"/>
      <c r="G116" s="40"/>
      <c r="H116" s="40"/>
      <c r="I116" s="40"/>
      <c r="J116" s="40"/>
      <c r="K116" s="40"/>
      <c r="L116" s="40"/>
      <c r="M116" s="40"/>
      <c r="N116" s="40"/>
      <c r="O116" s="40"/>
      <c r="P116" s="40"/>
      <c r="Q116" s="40"/>
      <c r="R116" s="40"/>
      <c r="S116" s="40"/>
      <c r="T116" s="40"/>
      <c r="U116" s="40"/>
      <c r="V116" s="40"/>
      <c r="W116" s="40"/>
      <c r="X116" s="40"/>
      <c r="Y116" s="40"/>
      <c r="Z116" s="40"/>
    </row>
    <row r="117" spans="1:26" ht="15.75" customHeight="1">
      <c r="A117" s="17"/>
      <c r="B117" s="66"/>
      <c r="C117" s="67"/>
      <c r="D117" s="67"/>
      <c r="E117" s="67"/>
      <c r="F117" s="40"/>
      <c r="G117" s="40"/>
      <c r="H117" s="40"/>
      <c r="I117" s="40"/>
      <c r="J117" s="40"/>
      <c r="K117" s="40"/>
      <c r="L117" s="40"/>
      <c r="M117" s="40"/>
      <c r="N117" s="40"/>
      <c r="O117" s="40"/>
      <c r="P117" s="40"/>
      <c r="Q117" s="40"/>
      <c r="R117" s="40"/>
      <c r="S117" s="40"/>
      <c r="T117" s="40"/>
      <c r="U117" s="40"/>
      <c r="V117" s="40"/>
      <c r="W117" s="40"/>
      <c r="X117" s="40"/>
      <c r="Y117" s="40"/>
      <c r="Z117" s="40"/>
    </row>
    <row r="118" spans="1:26" ht="15.75" customHeight="1">
      <c r="A118" s="68" t="s">
        <v>89</v>
      </c>
      <c r="B118" s="68">
        <f>SUM(B76,B59,B50,B12)</f>
        <v>100</v>
      </c>
      <c r="C118" s="69"/>
      <c r="D118" s="69"/>
      <c r="E118" s="6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ustomHeight="1">
      <c r="A119" s="70"/>
      <c r="B119" s="71"/>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c r="A120" s="72"/>
      <c r="B120" s="73"/>
      <c r="C120" s="74">
        <f t="shared" ref="C120:E120" si="0">SUM(C25:C119)</f>
        <v>0</v>
      </c>
      <c r="D120" s="74">
        <f t="shared" si="0"/>
        <v>0</v>
      </c>
      <c r="E120" s="74">
        <f t="shared" si="0"/>
        <v>0</v>
      </c>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c r="A121" s="262" t="s">
        <v>186</v>
      </c>
      <c r="B121" s="263"/>
      <c r="C121" s="263"/>
      <c r="D121" s="263"/>
      <c r="E121" s="264"/>
      <c r="F121" s="75"/>
      <c r="G121" s="75"/>
      <c r="H121" s="39"/>
      <c r="I121" s="39"/>
      <c r="J121" s="39"/>
      <c r="K121" s="39"/>
      <c r="L121" s="39"/>
      <c r="M121" s="39"/>
      <c r="N121" s="39"/>
      <c r="O121" s="39"/>
      <c r="P121" s="39"/>
      <c r="Q121" s="39"/>
      <c r="R121" s="39"/>
      <c r="S121" s="39"/>
      <c r="T121" s="39"/>
      <c r="U121" s="39"/>
      <c r="V121" s="39"/>
      <c r="W121" s="39"/>
      <c r="X121" s="39"/>
      <c r="Y121" s="39"/>
      <c r="Z121" s="39"/>
    </row>
    <row r="122" spans="1:26" ht="15.75">
      <c r="A122" s="40"/>
      <c r="B122" s="39"/>
      <c r="C122" s="39"/>
      <c r="D122" s="39"/>
      <c r="E122" s="40"/>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 r="A123" s="76" t="s">
        <v>299</v>
      </c>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 r="A124" s="76"/>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 r="A125" s="77" t="s">
        <v>300</v>
      </c>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spans="1:26" ht="15.7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spans="1:26" ht="15.75">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spans="1:26" ht="15.75">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spans="1:26" ht="15.75">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spans="1:26" ht="15.75">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spans="1:26" ht="15.75">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spans="1:26" ht="15.75">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spans="1:26" ht="15.75">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spans="1:26" ht="15.75">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spans="1:26" ht="15.75">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spans="1:26" ht="15.7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row r="1016" spans="1:26" ht="15.75">
      <c r="A1016" s="40"/>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0"/>
      <c r="Y1016" s="40"/>
      <c r="Z1016" s="40"/>
    </row>
  </sheetData>
  <mergeCells count="6">
    <mergeCell ref="A121:E121"/>
    <mergeCell ref="A2:E2"/>
    <mergeCell ref="A3:E3"/>
    <mergeCell ref="A4:E4"/>
    <mergeCell ref="A10:A11"/>
    <mergeCell ref="C10:E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4"/>
  <sheetViews>
    <sheetView workbookViewId="0"/>
  </sheetViews>
  <sheetFormatPr defaultColWidth="11.25" defaultRowHeight="15" customHeight="1"/>
  <cols>
    <col min="1" max="1" width="74.5" customWidth="1"/>
  </cols>
  <sheetData>
    <row r="1" spans="1:26" ht="15.75">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spans="1:26" ht="15.75">
      <c r="A2" s="255"/>
      <c r="B2" s="247"/>
      <c r="C2" s="247"/>
      <c r="D2" s="247"/>
      <c r="E2" s="247"/>
      <c r="F2" s="39"/>
      <c r="G2" s="39"/>
      <c r="H2" s="39"/>
      <c r="I2" s="39"/>
      <c r="J2" s="39"/>
      <c r="K2" s="39"/>
      <c r="L2" s="39"/>
      <c r="M2" s="39"/>
      <c r="N2" s="39"/>
      <c r="O2" s="39"/>
      <c r="P2" s="39"/>
      <c r="Q2" s="39"/>
      <c r="R2" s="39"/>
      <c r="S2" s="39"/>
      <c r="T2" s="39"/>
      <c r="U2" s="39"/>
      <c r="V2" s="39"/>
      <c r="W2" s="39"/>
      <c r="X2" s="39"/>
      <c r="Y2" s="39"/>
      <c r="Z2" s="39"/>
    </row>
    <row r="3" spans="1:26" ht="18.75">
      <c r="A3" s="256" t="s">
        <v>95</v>
      </c>
      <c r="B3" s="247"/>
      <c r="C3" s="247"/>
      <c r="D3" s="247"/>
      <c r="E3" s="247"/>
      <c r="F3" s="39"/>
      <c r="G3" s="39"/>
      <c r="H3" s="39"/>
      <c r="I3" s="39"/>
      <c r="J3" s="39"/>
      <c r="K3" s="39"/>
      <c r="L3" s="39"/>
      <c r="M3" s="39"/>
      <c r="N3" s="39"/>
      <c r="O3" s="39"/>
      <c r="P3" s="39"/>
      <c r="Q3" s="39"/>
      <c r="R3" s="39"/>
      <c r="S3" s="39"/>
      <c r="T3" s="39"/>
      <c r="U3" s="39"/>
      <c r="V3" s="39"/>
      <c r="W3" s="39"/>
      <c r="X3" s="39"/>
      <c r="Y3" s="39"/>
      <c r="Z3" s="39"/>
    </row>
    <row r="4" spans="1:26" ht="18.75">
      <c r="A4" s="256" t="s">
        <v>96</v>
      </c>
      <c r="B4" s="247"/>
      <c r="C4" s="247"/>
      <c r="D4" s="247"/>
      <c r="E4" s="247"/>
      <c r="F4" s="39"/>
      <c r="G4" s="39"/>
      <c r="H4" s="39"/>
      <c r="I4" s="39"/>
      <c r="J4" s="39"/>
      <c r="K4" s="39"/>
      <c r="L4" s="39"/>
      <c r="M4" s="39"/>
      <c r="N4" s="39"/>
      <c r="O4" s="39"/>
      <c r="P4" s="39"/>
      <c r="Q4" s="39"/>
      <c r="R4" s="39"/>
      <c r="S4" s="39"/>
      <c r="T4" s="39"/>
      <c r="U4" s="39"/>
      <c r="V4" s="39"/>
      <c r="W4" s="39"/>
      <c r="X4" s="39"/>
      <c r="Y4" s="39"/>
      <c r="Z4" s="39"/>
    </row>
    <row r="5" spans="1:26" ht="15.75">
      <c r="A5" s="40"/>
      <c r="B5" s="39"/>
      <c r="C5" s="39"/>
      <c r="D5" s="39"/>
      <c r="E5" s="39"/>
      <c r="F5" s="39"/>
      <c r="G5" s="39"/>
      <c r="H5" s="39"/>
      <c r="I5" s="39"/>
      <c r="J5" s="39"/>
      <c r="K5" s="39"/>
      <c r="L5" s="39"/>
      <c r="M5" s="39"/>
      <c r="N5" s="39"/>
      <c r="O5" s="39"/>
      <c r="P5" s="39"/>
      <c r="Q5" s="39"/>
      <c r="R5" s="39"/>
      <c r="S5" s="39"/>
      <c r="T5" s="39"/>
      <c r="U5" s="39"/>
      <c r="V5" s="39"/>
      <c r="W5" s="39"/>
      <c r="X5" s="39"/>
      <c r="Y5" s="39"/>
      <c r="Z5" s="39"/>
    </row>
    <row r="6" spans="1:26" ht="15.75">
      <c r="A6" s="76" t="s">
        <v>3</v>
      </c>
      <c r="B6" s="149"/>
      <c r="C6" s="149"/>
      <c r="D6" s="149"/>
      <c r="E6" s="149"/>
      <c r="F6" s="39"/>
      <c r="G6" s="39"/>
      <c r="H6" s="39"/>
      <c r="I6" s="39"/>
      <c r="J6" s="39"/>
      <c r="K6" s="39"/>
      <c r="L6" s="39"/>
      <c r="M6" s="39"/>
      <c r="N6" s="39"/>
      <c r="O6" s="39"/>
      <c r="P6" s="39"/>
      <c r="Q6" s="39"/>
      <c r="R6" s="39"/>
      <c r="S6" s="39"/>
      <c r="T6" s="39"/>
      <c r="U6" s="39"/>
      <c r="V6" s="39"/>
      <c r="W6" s="39"/>
      <c r="X6" s="39"/>
      <c r="Y6" s="39"/>
      <c r="Z6" s="39"/>
    </row>
    <row r="7" spans="1:26" ht="15.75">
      <c r="A7" s="76" t="s">
        <v>4</v>
      </c>
      <c r="B7" s="149"/>
      <c r="C7" s="149"/>
      <c r="D7" s="149"/>
      <c r="E7" s="149"/>
      <c r="F7" s="39"/>
      <c r="G7" s="39"/>
      <c r="H7" s="39"/>
      <c r="I7" s="39"/>
      <c r="J7" s="39"/>
      <c r="K7" s="39"/>
      <c r="L7" s="39"/>
      <c r="M7" s="39"/>
      <c r="N7" s="39"/>
      <c r="O7" s="39"/>
      <c r="P7" s="39"/>
      <c r="Q7" s="39"/>
      <c r="R7" s="39"/>
      <c r="S7" s="39"/>
      <c r="T7" s="39"/>
      <c r="U7" s="39"/>
      <c r="V7" s="39"/>
      <c r="W7" s="39"/>
      <c r="X7" s="39"/>
      <c r="Y7" s="39"/>
      <c r="Z7" s="39"/>
    </row>
    <row r="8" spans="1:26" ht="15.75">
      <c r="A8" s="76" t="s">
        <v>97</v>
      </c>
      <c r="B8" s="149"/>
      <c r="C8" s="149"/>
      <c r="D8" s="149"/>
      <c r="E8" s="149"/>
      <c r="F8" s="39"/>
      <c r="G8" s="39"/>
      <c r="H8" s="39"/>
      <c r="I8" s="39"/>
      <c r="J8" s="39"/>
      <c r="K8" s="39"/>
      <c r="L8" s="39"/>
      <c r="M8" s="39"/>
      <c r="N8" s="39"/>
      <c r="O8" s="39"/>
      <c r="P8" s="39"/>
      <c r="Q8" s="39"/>
      <c r="R8" s="39"/>
      <c r="S8" s="39"/>
      <c r="T8" s="39"/>
      <c r="U8" s="39"/>
      <c r="V8" s="39"/>
      <c r="W8" s="39"/>
      <c r="X8" s="39"/>
      <c r="Y8" s="39"/>
      <c r="Z8" s="39"/>
    </row>
    <row r="9" spans="1:26" ht="15.75">
      <c r="A9" s="150" t="s">
        <v>6</v>
      </c>
      <c r="B9" s="151"/>
      <c r="C9" s="151"/>
      <c r="D9" s="151"/>
      <c r="E9" s="151"/>
      <c r="F9" s="39"/>
      <c r="G9" s="39"/>
      <c r="H9" s="39"/>
      <c r="I9" s="39"/>
      <c r="J9" s="39"/>
      <c r="K9" s="39"/>
      <c r="L9" s="39"/>
      <c r="M9" s="39"/>
      <c r="N9" s="39"/>
      <c r="O9" s="39"/>
      <c r="P9" s="39"/>
      <c r="Q9" s="39"/>
      <c r="R9" s="39"/>
      <c r="S9" s="39"/>
      <c r="T9" s="39"/>
      <c r="U9" s="39"/>
      <c r="V9" s="39"/>
      <c r="W9" s="39"/>
      <c r="X9" s="39"/>
      <c r="Y9" s="39"/>
      <c r="Z9" s="39"/>
    </row>
    <row r="10" spans="1:26" ht="15.75">
      <c r="A10" s="270" t="s">
        <v>7</v>
      </c>
      <c r="B10" s="152"/>
      <c r="C10" s="271" t="s">
        <v>8</v>
      </c>
      <c r="D10" s="263"/>
      <c r="E10" s="264"/>
      <c r="F10" s="39"/>
      <c r="G10" s="39"/>
      <c r="H10" s="39"/>
      <c r="I10" s="39"/>
      <c r="J10" s="39"/>
      <c r="K10" s="39"/>
      <c r="L10" s="39"/>
      <c r="M10" s="39"/>
      <c r="N10" s="39"/>
      <c r="O10" s="39"/>
      <c r="P10" s="39"/>
      <c r="Q10" s="39"/>
      <c r="R10" s="39"/>
      <c r="S10" s="39"/>
      <c r="T10" s="39"/>
      <c r="U10" s="39"/>
      <c r="V10" s="39"/>
      <c r="W10" s="39"/>
      <c r="X10" s="39"/>
      <c r="Y10" s="39"/>
      <c r="Z10" s="39"/>
    </row>
    <row r="11" spans="1:26" ht="31.5">
      <c r="A11" s="258"/>
      <c r="B11" s="153" t="s">
        <v>9</v>
      </c>
      <c r="C11" s="153" t="s">
        <v>10</v>
      </c>
      <c r="D11" s="153" t="s">
        <v>11</v>
      </c>
      <c r="E11" s="153" t="s">
        <v>12</v>
      </c>
      <c r="F11" s="39"/>
      <c r="G11" s="39"/>
      <c r="H11" s="39"/>
      <c r="I11" s="39"/>
      <c r="J11" s="39"/>
      <c r="K11" s="39"/>
      <c r="L11" s="39"/>
      <c r="M11" s="39"/>
      <c r="N11" s="39"/>
      <c r="O11" s="39"/>
      <c r="P11" s="39"/>
      <c r="Q11" s="39"/>
      <c r="R11" s="39"/>
      <c r="S11" s="39"/>
      <c r="T11" s="39"/>
      <c r="U11" s="39"/>
      <c r="V11" s="39"/>
      <c r="W11" s="39"/>
      <c r="X11" s="39"/>
      <c r="Y11" s="39"/>
      <c r="Z11" s="39"/>
    </row>
    <row r="12" spans="1:26" ht="15.75">
      <c r="A12" s="154" t="s">
        <v>301</v>
      </c>
      <c r="B12" s="155">
        <f>SUM(B14,B20,B26,B31,B35,B40,B44,B47)</f>
        <v>35</v>
      </c>
      <c r="C12" s="156"/>
      <c r="D12" s="156"/>
      <c r="E12" s="156"/>
      <c r="F12" s="39"/>
      <c r="G12" s="39"/>
      <c r="H12" s="39"/>
      <c r="I12" s="39"/>
      <c r="J12" s="39"/>
      <c r="K12" s="39"/>
      <c r="L12" s="39"/>
      <c r="M12" s="39"/>
      <c r="N12" s="39"/>
      <c r="O12" s="39"/>
      <c r="P12" s="39"/>
      <c r="Q12" s="39"/>
      <c r="R12" s="39"/>
      <c r="S12" s="39"/>
      <c r="T12" s="39"/>
      <c r="U12" s="39"/>
      <c r="V12" s="39"/>
      <c r="W12" s="39"/>
      <c r="X12" s="39"/>
      <c r="Y12" s="39"/>
      <c r="Z12" s="39"/>
    </row>
    <row r="13" spans="1:26" ht="31.5">
      <c r="A13" s="157" t="s">
        <v>302</v>
      </c>
      <c r="B13" s="69"/>
      <c r="C13" s="152"/>
      <c r="D13" s="152"/>
      <c r="E13" s="152"/>
      <c r="F13" s="39"/>
      <c r="G13" s="39"/>
      <c r="H13" s="39"/>
      <c r="I13" s="39"/>
      <c r="J13" s="39"/>
      <c r="K13" s="39"/>
      <c r="L13" s="39"/>
      <c r="M13" s="39"/>
      <c r="N13" s="39"/>
      <c r="O13" s="39"/>
      <c r="P13" s="39"/>
      <c r="Q13" s="39"/>
      <c r="R13" s="39"/>
      <c r="S13" s="39"/>
      <c r="T13" s="39"/>
      <c r="U13" s="39"/>
      <c r="V13" s="39"/>
      <c r="W13" s="39"/>
      <c r="X13" s="39"/>
      <c r="Y13" s="39"/>
      <c r="Z13" s="39"/>
    </row>
    <row r="14" spans="1:26" ht="15.75">
      <c r="A14" s="17" t="s">
        <v>14</v>
      </c>
      <c r="B14" s="67">
        <v>7</v>
      </c>
      <c r="C14" s="152"/>
      <c r="D14" s="152"/>
      <c r="E14" s="152"/>
      <c r="F14" s="39"/>
      <c r="G14" s="39"/>
      <c r="H14" s="39"/>
      <c r="I14" s="39"/>
      <c r="J14" s="39"/>
      <c r="K14" s="39"/>
      <c r="L14" s="39"/>
      <c r="M14" s="39"/>
      <c r="N14" s="39"/>
      <c r="O14" s="39"/>
      <c r="P14" s="39"/>
      <c r="Q14" s="39"/>
      <c r="R14" s="39"/>
      <c r="S14" s="39"/>
      <c r="T14" s="39"/>
      <c r="U14" s="39"/>
      <c r="V14" s="39"/>
      <c r="W14" s="39"/>
      <c r="X14" s="39"/>
      <c r="Y14" s="39"/>
      <c r="Z14" s="39"/>
    </row>
    <row r="15" spans="1:26" ht="15.75">
      <c r="A15" s="51" t="s">
        <v>303</v>
      </c>
      <c r="B15" s="66">
        <v>3</v>
      </c>
      <c r="C15" s="152"/>
      <c r="D15" s="152"/>
      <c r="E15" s="152"/>
      <c r="F15" s="39"/>
      <c r="G15" s="39"/>
      <c r="H15" s="39"/>
      <c r="I15" s="39"/>
      <c r="J15" s="39"/>
      <c r="K15" s="39"/>
      <c r="L15" s="39"/>
      <c r="M15" s="39"/>
      <c r="N15" s="39"/>
      <c r="O15" s="39"/>
      <c r="P15" s="39"/>
      <c r="Q15" s="39"/>
      <c r="R15" s="39"/>
      <c r="S15" s="39"/>
      <c r="T15" s="39"/>
      <c r="U15" s="39"/>
      <c r="V15" s="39"/>
      <c r="W15" s="39"/>
      <c r="X15" s="39"/>
      <c r="Y15" s="39"/>
      <c r="Z15" s="39"/>
    </row>
    <row r="16" spans="1:26" ht="15.75">
      <c r="A16" s="51" t="s">
        <v>304</v>
      </c>
      <c r="B16" s="66">
        <v>2</v>
      </c>
      <c r="C16" s="152"/>
      <c r="D16" s="152"/>
      <c r="E16" s="152"/>
      <c r="F16" s="39"/>
      <c r="G16" s="39"/>
      <c r="H16" s="39"/>
      <c r="I16" s="39"/>
      <c r="J16" s="39"/>
      <c r="K16" s="39"/>
      <c r="L16" s="39"/>
      <c r="M16" s="39"/>
      <c r="N16" s="39"/>
      <c r="O16" s="39"/>
      <c r="P16" s="39"/>
      <c r="Q16" s="39"/>
      <c r="R16" s="39"/>
      <c r="S16" s="39"/>
      <c r="T16" s="39"/>
      <c r="U16" s="39"/>
      <c r="V16" s="39"/>
      <c r="W16" s="39"/>
      <c r="X16" s="39"/>
      <c r="Y16" s="39"/>
      <c r="Z16" s="39"/>
    </row>
    <row r="17" spans="1:26" ht="15.75">
      <c r="A17" s="51" t="s">
        <v>305</v>
      </c>
      <c r="B17" s="66">
        <v>0</v>
      </c>
      <c r="C17" s="152"/>
      <c r="D17" s="152"/>
      <c r="E17" s="152"/>
      <c r="F17" s="39"/>
      <c r="G17" s="39"/>
      <c r="H17" s="39"/>
      <c r="I17" s="39"/>
      <c r="J17" s="39"/>
      <c r="K17" s="39"/>
      <c r="L17" s="39"/>
      <c r="M17" s="39"/>
      <c r="N17" s="39"/>
      <c r="O17" s="39"/>
      <c r="P17" s="39"/>
      <c r="Q17" s="39"/>
      <c r="R17" s="39"/>
      <c r="S17" s="39"/>
      <c r="T17" s="39"/>
      <c r="U17" s="39"/>
      <c r="V17" s="39"/>
      <c r="W17" s="39"/>
      <c r="X17" s="39"/>
      <c r="Y17" s="39"/>
      <c r="Z17" s="39"/>
    </row>
    <row r="18" spans="1:26" ht="15.75">
      <c r="A18" s="51" t="s">
        <v>103</v>
      </c>
      <c r="B18" s="66">
        <v>-5</v>
      </c>
      <c r="C18" s="152"/>
      <c r="D18" s="152"/>
      <c r="E18" s="152"/>
      <c r="F18" s="39"/>
      <c r="G18" s="39"/>
      <c r="H18" s="39"/>
      <c r="I18" s="39"/>
      <c r="J18" s="39"/>
      <c r="K18" s="39"/>
      <c r="L18" s="39"/>
      <c r="M18" s="39"/>
      <c r="N18" s="39"/>
      <c r="O18" s="39"/>
      <c r="P18" s="39"/>
      <c r="Q18" s="39"/>
      <c r="R18" s="39"/>
      <c r="S18" s="39"/>
      <c r="T18" s="39"/>
      <c r="U18" s="39"/>
      <c r="V18" s="39"/>
      <c r="W18" s="39"/>
      <c r="X18" s="39"/>
      <c r="Y18" s="39"/>
      <c r="Z18" s="39"/>
    </row>
    <row r="19" spans="1:26" ht="63">
      <c r="A19" s="157" t="s">
        <v>306</v>
      </c>
      <c r="B19" s="69"/>
      <c r="C19" s="152"/>
      <c r="D19" s="152"/>
      <c r="E19" s="152"/>
      <c r="F19" s="39"/>
      <c r="G19" s="39"/>
      <c r="H19" s="39"/>
      <c r="I19" s="39"/>
      <c r="J19" s="39"/>
      <c r="K19" s="39"/>
      <c r="L19" s="39"/>
      <c r="M19" s="39"/>
      <c r="N19" s="39"/>
      <c r="O19" s="39"/>
      <c r="P19" s="39"/>
      <c r="Q19" s="39"/>
      <c r="R19" s="39"/>
      <c r="S19" s="39"/>
      <c r="T19" s="39"/>
      <c r="U19" s="39"/>
      <c r="V19" s="39"/>
      <c r="W19" s="39"/>
      <c r="X19" s="39"/>
      <c r="Y19" s="39"/>
      <c r="Z19" s="39"/>
    </row>
    <row r="20" spans="1:26" ht="15.75">
      <c r="A20" s="17" t="s">
        <v>20</v>
      </c>
      <c r="B20" s="67">
        <v>5</v>
      </c>
      <c r="C20" s="152"/>
      <c r="D20" s="152"/>
      <c r="E20" s="152"/>
      <c r="F20" s="39"/>
      <c r="G20" s="39"/>
      <c r="H20" s="39"/>
      <c r="I20" s="39"/>
      <c r="J20" s="39"/>
      <c r="K20" s="39"/>
      <c r="L20" s="39"/>
      <c r="M20" s="39"/>
      <c r="N20" s="39"/>
      <c r="O20" s="39"/>
      <c r="P20" s="39"/>
      <c r="Q20" s="39"/>
      <c r="R20" s="39"/>
      <c r="S20" s="39"/>
      <c r="T20" s="39"/>
      <c r="U20" s="39"/>
      <c r="V20" s="39"/>
      <c r="W20" s="39"/>
      <c r="X20" s="39"/>
      <c r="Y20" s="39"/>
      <c r="Z20" s="39"/>
    </row>
    <row r="21" spans="1:26" ht="15.75">
      <c r="A21" s="17" t="s">
        <v>105</v>
      </c>
      <c r="B21" s="66">
        <v>2</v>
      </c>
      <c r="C21" s="152"/>
      <c r="D21" s="152"/>
      <c r="E21" s="152"/>
      <c r="F21" s="39"/>
      <c r="G21" s="39"/>
      <c r="H21" s="39"/>
      <c r="I21" s="39"/>
      <c r="J21" s="39"/>
      <c r="K21" s="39"/>
      <c r="L21" s="39"/>
      <c r="M21" s="39"/>
      <c r="N21" s="39"/>
      <c r="O21" s="39"/>
      <c r="P21" s="39"/>
      <c r="Q21" s="39"/>
      <c r="R21" s="39"/>
      <c r="S21" s="39"/>
      <c r="T21" s="39"/>
      <c r="U21" s="39"/>
      <c r="V21" s="39"/>
      <c r="W21" s="39"/>
      <c r="X21" s="39"/>
      <c r="Y21" s="39"/>
      <c r="Z21" s="39"/>
    </row>
    <row r="22" spans="1:26" ht="15.75">
      <c r="A22" s="17" t="s">
        <v>106</v>
      </c>
      <c r="B22" s="66">
        <v>1</v>
      </c>
      <c r="C22" s="152"/>
      <c r="D22" s="152"/>
      <c r="E22" s="152"/>
      <c r="F22" s="39"/>
      <c r="G22" s="39"/>
      <c r="H22" s="39"/>
      <c r="I22" s="39"/>
      <c r="J22" s="39"/>
      <c r="K22" s="39"/>
      <c r="L22" s="39"/>
      <c r="M22" s="39"/>
      <c r="N22" s="39"/>
      <c r="O22" s="39"/>
      <c r="P22" s="39"/>
      <c r="Q22" s="39"/>
      <c r="R22" s="39"/>
      <c r="S22" s="39"/>
      <c r="T22" s="39"/>
      <c r="U22" s="39"/>
      <c r="V22" s="39"/>
      <c r="W22" s="39"/>
      <c r="X22" s="39"/>
      <c r="Y22" s="39"/>
      <c r="Z22" s="39"/>
    </row>
    <row r="23" spans="1:26" ht="15.75">
      <c r="A23" s="17" t="s">
        <v>107</v>
      </c>
      <c r="B23" s="66">
        <v>0</v>
      </c>
      <c r="C23" s="152"/>
      <c r="D23" s="152"/>
      <c r="E23" s="152"/>
      <c r="F23" s="39"/>
      <c r="G23" s="39"/>
      <c r="H23" s="39"/>
      <c r="I23" s="39"/>
      <c r="J23" s="39"/>
      <c r="K23" s="39"/>
      <c r="L23" s="39"/>
      <c r="M23" s="39"/>
      <c r="N23" s="39"/>
      <c r="O23" s="39"/>
      <c r="P23" s="39"/>
      <c r="Q23" s="39"/>
      <c r="R23" s="39"/>
      <c r="S23" s="39"/>
      <c r="T23" s="39"/>
      <c r="U23" s="39"/>
      <c r="V23" s="39"/>
      <c r="W23" s="39"/>
      <c r="X23" s="39"/>
      <c r="Y23" s="39"/>
      <c r="Z23" s="39"/>
    </row>
    <row r="24" spans="1:26" ht="15.75">
      <c r="A24" s="17" t="s">
        <v>108</v>
      </c>
      <c r="B24" s="66">
        <v>-5</v>
      </c>
      <c r="C24" s="152"/>
      <c r="D24" s="152"/>
      <c r="E24" s="152"/>
      <c r="F24" s="39"/>
      <c r="G24" s="39"/>
      <c r="H24" s="39"/>
      <c r="I24" s="39"/>
      <c r="J24" s="39"/>
      <c r="K24" s="39"/>
      <c r="L24" s="39"/>
      <c r="M24" s="39"/>
      <c r="N24" s="39"/>
      <c r="O24" s="39"/>
      <c r="P24" s="39"/>
      <c r="Q24" s="39"/>
      <c r="R24" s="39"/>
      <c r="S24" s="39"/>
      <c r="T24" s="39"/>
      <c r="U24" s="39"/>
      <c r="V24" s="39"/>
      <c r="W24" s="39"/>
      <c r="X24" s="39"/>
      <c r="Y24" s="39"/>
      <c r="Z24" s="39"/>
    </row>
    <row r="25" spans="1:26" ht="15.75">
      <c r="A25" s="158" t="s">
        <v>109</v>
      </c>
      <c r="B25" s="69"/>
      <c r="C25" s="152"/>
      <c r="D25" s="152"/>
      <c r="E25" s="152"/>
      <c r="F25" s="39"/>
      <c r="G25" s="39"/>
      <c r="H25" s="39"/>
      <c r="I25" s="39"/>
      <c r="J25" s="39"/>
      <c r="K25" s="39"/>
      <c r="L25" s="39"/>
      <c r="M25" s="39"/>
      <c r="N25" s="39"/>
      <c r="O25" s="39"/>
      <c r="P25" s="39"/>
      <c r="Q25" s="39"/>
      <c r="R25" s="39"/>
      <c r="S25" s="39"/>
      <c r="T25" s="39"/>
      <c r="U25" s="39"/>
      <c r="V25" s="39"/>
      <c r="W25" s="39"/>
      <c r="X25" s="39"/>
      <c r="Y25" s="39"/>
      <c r="Z25" s="39"/>
    </row>
    <row r="26" spans="1:26" ht="15.75">
      <c r="A26" s="17" t="s">
        <v>35</v>
      </c>
      <c r="B26" s="67">
        <v>3</v>
      </c>
      <c r="C26" s="152"/>
      <c r="D26" s="152"/>
      <c r="E26" s="152"/>
      <c r="F26" s="39"/>
      <c r="G26" s="39"/>
      <c r="H26" s="39"/>
      <c r="I26" s="39"/>
      <c r="J26" s="39"/>
      <c r="K26" s="39"/>
      <c r="L26" s="39"/>
      <c r="M26" s="39"/>
      <c r="N26" s="39"/>
      <c r="O26" s="39"/>
      <c r="P26" s="39"/>
      <c r="Q26" s="39"/>
      <c r="R26" s="39"/>
      <c r="S26" s="39"/>
      <c r="T26" s="39"/>
      <c r="U26" s="39"/>
      <c r="V26" s="39"/>
      <c r="W26" s="39"/>
      <c r="X26" s="39"/>
      <c r="Y26" s="39"/>
      <c r="Z26" s="39"/>
    </row>
    <row r="27" spans="1:26" ht="15.75">
      <c r="A27" s="17" t="s">
        <v>110</v>
      </c>
      <c r="B27" s="66">
        <v>2</v>
      </c>
      <c r="C27" s="152"/>
      <c r="D27" s="152"/>
      <c r="E27" s="152"/>
      <c r="F27" s="39"/>
      <c r="G27" s="39"/>
      <c r="H27" s="39"/>
      <c r="I27" s="39"/>
      <c r="J27" s="39"/>
      <c r="K27" s="39"/>
      <c r="L27" s="39"/>
      <c r="M27" s="39"/>
      <c r="N27" s="39"/>
      <c r="O27" s="39"/>
      <c r="P27" s="39"/>
      <c r="Q27" s="39"/>
      <c r="R27" s="39"/>
      <c r="S27" s="39"/>
      <c r="T27" s="39"/>
      <c r="U27" s="39"/>
      <c r="V27" s="39"/>
      <c r="W27" s="39"/>
      <c r="X27" s="39"/>
      <c r="Y27" s="39"/>
      <c r="Z27" s="39"/>
    </row>
    <row r="28" spans="1:26" ht="15.75">
      <c r="A28" s="17" t="s">
        <v>111</v>
      </c>
      <c r="B28" s="66">
        <v>1</v>
      </c>
      <c r="C28" s="152"/>
      <c r="D28" s="152"/>
      <c r="E28" s="152"/>
      <c r="F28" s="39"/>
      <c r="G28" s="39"/>
      <c r="H28" s="39"/>
      <c r="I28" s="39"/>
      <c r="J28" s="39"/>
      <c r="K28" s="39"/>
      <c r="L28" s="39"/>
      <c r="M28" s="39"/>
      <c r="N28" s="39"/>
      <c r="O28" s="39"/>
      <c r="P28" s="39"/>
      <c r="Q28" s="39"/>
      <c r="R28" s="39"/>
      <c r="S28" s="39"/>
      <c r="T28" s="39"/>
      <c r="U28" s="39"/>
      <c r="V28" s="39"/>
      <c r="W28" s="39"/>
      <c r="X28" s="39"/>
      <c r="Y28" s="39"/>
      <c r="Z28" s="39"/>
    </row>
    <row r="29" spans="1:26" ht="15.75">
      <c r="A29" s="17" t="s">
        <v>112</v>
      </c>
      <c r="B29" s="66">
        <v>0</v>
      </c>
      <c r="C29" s="152"/>
      <c r="D29" s="152"/>
      <c r="E29" s="152"/>
      <c r="F29" s="39"/>
      <c r="G29" s="39"/>
      <c r="H29" s="39"/>
      <c r="I29" s="39"/>
      <c r="J29" s="39"/>
      <c r="K29" s="39"/>
      <c r="L29" s="39"/>
      <c r="M29" s="39"/>
      <c r="N29" s="39"/>
      <c r="O29" s="39"/>
      <c r="P29" s="39"/>
      <c r="Q29" s="39"/>
      <c r="R29" s="39"/>
      <c r="S29" s="39"/>
      <c r="T29" s="39"/>
      <c r="U29" s="39"/>
      <c r="V29" s="39"/>
      <c r="W29" s="39"/>
      <c r="X29" s="39"/>
      <c r="Y29" s="39"/>
      <c r="Z29" s="39"/>
    </row>
    <row r="30" spans="1:26" ht="31.5">
      <c r="A30" s="157" t="s">
        <v>307</v>
      </c>
      <c r="B30" s="69"/>
      <c r="C30" s="152"/>
      <c r="D30" s="152"/>
      <c r="E30" s="152"/>
      <c r="F30" s="39"/>
      <c r="G30" s="39"/>
      <c r="H30" s="39"/>
      <c r="I30" s="39"/>
      <c r="J30" s="39"/>
      <c r="K30" s="39"/>
      <c r="L30" s="39"/>
      <c r="M30" s="39"/>
      <c r="N30" s="39"/>
      <c r="O30" s="39"/>
      <c r="P30" s="39"/>
      <c r="Q30" s="39"/>
      <c r="R30" s="39"/>
      <c r="S30" s="39"/>
      <c r="T30" s="39"/>
      <c r="U30" s="39"/>
      <c r="V30" s="39"/>
      <c r="W30" s="39"/>
      <c r="X30" s="39"/>
      <c r="Y30" s="39"/>
      <c r="Z30" s="39"/>
    </row>
    <row r="31" spans="1:26" ht="15.75">
      <c r="A31" s="17" t="s">
        <v>26</v>
      </c>
      <c r="B31" s="67">
        <v>2</v>
      </c>
      <c r="C31" s="152"/>
      <c r="D31" s="152"/>
      <c r="E31" s="152"/>
      <c r="F31" s="39"/>
      <c r="G31" s="39"/>
      <c r="H31" s="39"/>
      <c r="I31" s="39"/>
      <c r="J31" s="39"/>
      <c r="K31" s="39"/>
      <c r="L31" s="39"/>
      <c r="M31" s="39"/>
      <c r="N31" s="39"/>
      <c r="O31" s="39"/>
      <c r="P31" s="39"/>
      <c r="Q31" s="39"/>
      <c r="R31" s="39"/>
      <c r="S31" s="39"/>
      <c r="T31" s="39"/>
      <c r="U31" s="39"/>
      <c r="V31" s="39"/>
      <c r="W31" s="39"/>
      <c r="X31" s="39"/>
      <c r="Y31" s="39"/>
      <c r="Z31" s="39"/>
    </row>
    <row r="32" spans="1:26" ht="15.75">
      <c r="A32" s="17" t="s">
        <v>114</v>
      </c>
      <c r="B32" s="66">
        <v>1</v>
      </c>
      <c r="C32" s="152"/>
      <c r="D32" s="152"/>
      <c r="E32" s="152"/>
      <c r="F32" s="39"/>
      <c r="G32" s="39"/>
      <c r="H32" s="39"/>
      <c r="I32" s="39"/>
      <c r="J32" s="39"/>
      <c r="K32" s="39"/>
      <c r="L32" s="39"/>
      <c r="M32" s="39"/>
      <c r="N32" s="39"/>
      <c r="O32" s="39"/>
      <c r="P32" s="39"/>
      <c r="Q32" s="39"/>
      <c r="R32" s="39"/>
      <c r="S32" s="39"/>
      <c r="T32" s="39"/>
      <c r="U32" s="39"/>
      <c r="V32" s="39"/>
      <c r="W32" s="39"/>
      <c r="X32" s="39"/>
      <c r="Y32" s="39"/>
      <c r="Z32" s="39"/>
    </row>
    <row r="33" spans="1:26" ht="15.75">
      <c r="A33" s="17" t="s">
        <v>115</v>
      </c>
      <c r="B33" s="66">
        <v>0</v>
      </c>
      <c r="C33" s="152"/>
      <c r="D33" s="152"/>
      <c r="E33" s="152"/>
      <c r="F33" s="39"/>
      <c r="G33" s="39"/>
      <c r="H33" s="39"/>
      <c r="I33" s="39"/>
      <c r="J33" s="39"/>
      <c r="K33" s="39"/>
      <c r="L33" s="39"/>
      <c r="M33" s="39"/>
      <c r="N33" s="39"/>
      <c r="O33" s="39"/>
      <c r="P33" s="39"/>
      <c r="Q33" s="39"/>
      <c r="R33" s="39"/>
      <c r="S33" s="39"/>
      <c r="T33" s="39"/>
      <c r="U33" s="39"/>
      <c r="V33" s="39"/>
      <c r="W33" s="39"/>
      <c r="X33" s="39"/>
      <c r="Y33" s="39"/>
      <c r="Z33" s="39"/>
    </row>
    <row r="34" spans="1:26" ht="31.5">
      <c r="A34" s="157" t="s">
        <v>308</v>
      </c>
      <c r="B34" s="69"/>
      <c r="C34" s="152"/>
      <c r="D34" s="152"/>
      <c r="E34" s="152"/>
      <c r="F34" s="39"/>
      <c r="G34" s="39"/>
      <c r="H34" s="39"/>
      <c r="I34" s="39"/>
      <c r="J34" s="39"/>
      <c r="K34" s="39"/>
      <c r="L34" s="39"/>
      <c r="M34" s="39"/>
      <c r="N34" s="39"/>
      <c r="O34" s="39"/>
      <c r="P34" s="39"/>
      <c r="Q34" s="39"/>
      <c r="R34" s="39"/>
      <c r="S34" s="39"/>
      <c r="T34" s="39"/>
      <c r="U34" s="39"/>
      <c r="V34" s="39"/>
      <c r="W34" s="39"/>
      <c r="X34" s="39"/>
      <c r="Y34" s="39"/>
      <c r="Z34" s="39"/>
    </row>
    <row r="35" spans="1:26" ht="15.75">
      <c r="A35" s="17" t="s">
        <v>26</v>
      </c>
      <c r="B35" s="67">
        <v>5</v>
      </c>
      <c r="C35" s="152"/>
      <c r="D35" s="152"/>
      <c r="E35" s="152"/>
      <c r="F35" s="39"/>
      <c r="G35" s="39"/>
      <c r="H35" s="39"/>
      <c r="I35" s="39"/>
      <c r="J35" s="39"/>
      <c r="K35" s="39"/>
      <c r="L35" s="39"/>
      <c r="M35" s="39"/>
      <c r="N35" s="39"/>
      <c r="O35" s="39"/>
      <c r="P35" s="39"/>
      <c r="Q35" s="39"/>
      <c r="R35" s="39"/>
      <c r="S35" s="39"/>
      <c r="T35" s="39"/>
      <c r="U35" s="39"/>
      <c r="V35" s="39"/>
      <c r="W35" s="39"/>
      <c r="X35" s="39"/>
      <c r="Y35" s="39"/>
      <c r="Z35" s="39"/>
    </row>
    <row r="36" spans="1:26" ht="15.75">
      <c r="A36" s="17" t="s">
        <v>117</v>
      </c>
      <c r="B36" s="66">
        <v>3</v>
      </c>
      <c r="C36" s="152"/>
      <c r="D36" s="152"/>
      <c r="E36" s="152"/>
      <c r="F36" s="39"/>
      <c r="G36" s="39"/>
      <c r="H36" s="39"/>
      <c r="I36" s="39"/>
      <c r="J36" s="39"/>
      <c r="K36" s="39"/>
      <c r="L36" s="39"/>
      <c r="M36" s="39"/>
      <c r="N36" s="39"/>
      <c r="O36" s="39"/>
      <c r="P36" s="39"/>
      <c r="Q36" s="39"/>
      <c r="R36" s="39"/>
      <c r="S36" s="39"/>
      <c r="T36" s="39"/>
      <c r="U36" s="39"/>
      <c r="V36" s="39"/>
      <c r="W36" s="39"/>
      <c r="X36" s="39"/>
      <c r="Y36" s="39"/>
      <c r="Z36" s="39"/>
    </row>
    <row r="37" spans="1:26" ht="15.75">
      <c r="A37" s="17" t="s">
        <v>118</v>
      </c>
      <c r="B37" s="66">
        <v>0</v>
      </c>
      <c r="C37" s="152"/>
      <c r="D37" s="152"/>
      <c r="E37" s="152"/>
      <c r="F37" s="39"/>
      <c r="G37" s="39"/>
      <c r="H37" s="39"/>
      <c r="I37" s="39"/>
      <c r="J37" s="39"/>
      <c r="K37" s="39"/>
      <c r="L37" s="39"/>
      <c r="M37" s="39"/>
      <c r="N37" s="39"/>
      <c r="O37" s="39"/>
      <c r="P37" s="39"/>
      <c r="Q37" s="39"/>
      <c r="R37" s="39"/>
      <c r="S37" s="39"/>
      <c r="T37" s="39"/>
      <c r="U37" s="39"/>
      <c r="V37" s="39"/>
      <c r="W37" s="39"/>
      <c r="X37" s="39"/>
      <c r="Y37" s="39"/>
      <c r="Z37" s="39"/>
    </row>
    <row r="38" spans="1:26" ht="15.75">
      <c r="A38" s="17" t="s">
        <v>119</v>
      </c>
      <c r="B38" s="66">
        <v>-5</v>
      </c>
      <c r="C38" s="152"/>
      <c r="D38" s="152"/>
      <c r="E38" s="152"/>
      <c r="F38" s="39"/>
      <c r="G38" s="39"/>
      <c r="H38" s="39"/>
      <c r="I38" s="39"/>
      <c r="J38" s="39"/>
      <c r="K38" s="39"/>
      <c r="L38" s="39"/>
      <c r="M38" s="39"/>
      <c r="N38" s="39"/>
      <c r="O38" s="39"/>
      <c r="P38" s="39"/>
      <c r="Q38" s="39"/>
      <c r="R38" s="39"/>
      <c r="S38" s="39"/>
      <c r="T38" s="39"/>
      <c r="U38" s="39"/>
      <c r="V38" s="39"/>
      <c r="W38" s="39"/>
      <c r="X38" s="39"/>
      <c r="Y38" s="39"/>
      <c r="Z38" s="39"/>
    </row>
    <row r="39" spans="1:26" ht="31.5">
      <c r="A39" s="158" t="s">
        <v>120</v>
      </c>
      <c r="B39" s="69"/>
      <c r="C39" s="152"/>
      <c r="D39" s="152"/>
      <c r="E39" s="152"/>
      <c r="F39" s="39"/>
      <c r="G39" s="39"/>
      <c r="H39" s="39"/>
      <c r="I39" s="39"/>
      <c r="J39" s="39"/>
      <c r="K39" s="39"/>
      <c r="L39" s="39"/>
      <c r="M39" s="39"/>
      <c r="N39" s="39"/>
      <c r="O39" s="39"/>
      <c r="P39" s="39"/>
      <c r="Q39" s="39"/>
      <c r="R39" s="39"/>
      <c r="S39" s="39"/>
      <c r="T39" s="39"/>
      <c r="U39" s="39"/>
      <c r="V39" s="39"/>
      <c r="W39" s="39"/>
      <c r="X39" s="39"/>
      <c r="Y39" s="39"/>
      <c r="Z39" s="39"/>
    </row>
    <row r="40" spans="1:26" ht="15.75">
      <c r="A40" s="157" t="s">
        <v>309</v>
      </c>
      <c r="B40" s="67">
        <v>3</v>
      </c>
      <c r="C40" s="152"/>
      <c r="D40" s="152"/>
      <c r="E40" s="152"/>
      <c r="F40" s="39"/>
      <c r="G40" s="39"/>
      <c r="H40" s="39"/>
      <c r="I40" s="39"/>
      <c r="J40" s="39"/>
      <c r="K40" s="39"/>
      <c r="L40" s="39"/>
      <c r="M40" s="39"/>
      <c r="N40" s="39"/>
      <c r="O40" s="39"/>
      <c r="P40" s="39"/>
      <c r="Q40" s="39"/>
      <c r="R40" s="39"/>
      <c r="S40" s="39"/>
      <c r="T40" s="39"/>
      <c r="U40" s="39"/>
      <c r="V40" s="39"/>
      <c r="W40" s="39"/>
      <c r="X40" s="39"/>
      <c r="Y40" s="39"/>
      <c r="Z40" s="39"/>
    </row>
    <row r="41" spans="1:26" ht="15.75">
      <c r="A41" s="157" t="s">
        <v>310</v>
      </c>
      <c r="B41" s="66">
        <v>0</v>
      </c>
      <c r="C41" s="152"/>
      <c r="D41" s="152"/>
      <c r="E41" s="152"/>
      <c r="F41" s="39"/>
      <c r="G41" s="39"/>
      <c r="H41" s="39"/>
      <c r="I41" s="39"/>
      <c r="J41" s="39"/>
      <c r="K41" s="39"/>
      <c r="L41" s="39"/>
      <c r="M41" s="39"/>
      <c r="N41" s="39"/>
      <c r="O41" s="39"/>
      <c r="P41" s="39"/>
      <c r="Q41" s="39"/>
      <c r="R41" s="39"/>
      <c r="S41" s="39"/>
      <c r="T41" s="39"/>
      <c r="U41" s="39"/>
      <c r="V41" s="39"/>
      <c r="W41" s="39"/>
      <c r="X41" s="39"/>
      <c r="Y41" s="39"/>
      <c r="Z41" s="39"/>
    </row>
    <row r="42" spans="1:26" ht="15.75">
      <c r="A42" s="17" t="s">
        <v>123</v>
      </c>
      <c r="B42" s="66">
        <v>-5</v>
      </c>
      <c r="C42" s="152"/>
      <c r="D42" s="152"/>
      <c r="E42" s="152"/>
      <c r="F42" s="39"/>
      <c r="G42" s="39"/>
      <c r="H42" s="39"/>
      <c r="I42" s="39"/>
      <c r="J42" s="39"/>
      <c r="K42" s="39"/>
      <c r="L42" s="39"/>
      <c r="M42" s="39"/>
      <c r="N42" s="39"/>
      <c r="O42" s="39"/>
      <c r="P42" s="39"/>
      <c r="Q42" s="39"/>
      <c r="R42" s="39"/>
      <c r="S42" s="39"/>
      <c r="T42" s="39"/>
      <c r="U42" s="39"/>
      <c r="V42" s="39"/>
      <c r="W42" s="39"/>
      <c r="X42" s="39"/>
      <c r="Y42" s="39"/>
      <c r="Z42" s="39"/>
    </row>
    <row r="43" spans="1:26" ht="31.5">
      <c r="A43" s="159" t="s">
        <v>124</v>
      </c>
      <c r="B43" s="69"/>
      <c r="C43" s="152"/>
      <c r="D43" s="152"/>
      <c r="E43" s="152"/>
      <c r="F43" s="39"/>
      <c r="G43" s="39"/>
      <c r="H43" s="39"/>
      <c r="I43" s="39"/>
      <c r="J43" s="39"/>
      <c r="K43" s="39"/>
      <c r="L43" s="39"/>
      <c r="M43" s="39"/>
      <c r="N43" s="39"/>
      <c r="O43" s="39"/>
      <c r="P43" s="39"/>
      <c r="Q43" s="39"/>
      <c r="R43" s="39"/>
      <c r="S43" s="39"/>
      <c r="T43" s="39"/>
      <c r="U43" s="39"/>
      <c r="V43" s="39"/>
      <c r="W43" s="39"/>
      <c r="X43" s="39"/>
      <c r="Y43" s="39"/>
      <c r="Z43" s="39"/>
    </row>
    <row r="44" spans="1:26" ht="15.75">
      <c r="A44" s="160" t="s">
        <v>311</v>
      </c>
      <c r="B44" s="67">
        <v>3</v>
      </c>
      <c r="C44" s="152"/>
      <c r="D44" s="152"/>
      <c r="E44" s="152"/>
      <c r="F44" s="39"/>
      <c r="G44" s="39"/>
      <c r="H44" s="39"/>
      <c r="I44" s="39"/>
      <c r="J44" s="39"/>
      <c r="K44" s="39"/>
      <c r="L44" s="39"/>
      <c r="M44" s="39"/>
      <c r="N44" s="39"/>
      <c r="O44" s="39"/>
      <c r="P44" s="39"/>
      <c r="Q44" s="39"/>
      <c r="R44" s="39"/>
      <c r="S44" s="39"/>
      <c r="T44" s="39"/>
      <c r="U44" s="39"/>
      <c r="V44" s="39"/>
      <c r="W44" s="39"/>
      <c r="X44" s="39"/>
      <c r="Y44" s="39"/>
      <c r="Z44" s="39"/>
    </row>
    <row r="45" spans="1:26" ht="15.75">
      <c r="A45" s="18" t="s">
        <v>126</v>
      </c>
      <c r="B45" s="66">
        <v>0</v>
      </c>
      <c r="C45" s="152"/>
      <c r="D45" s="152"/>
      <c r="E45" s="152"/>
      <c r="F45" s="39"/>
      <c r="G45" s="39"/>
      <c r="H45" s="39"/>
      <c r="I45" s="39"/>
      <c r="J45" s="39"/>
      <c r="K45" s="39"/>
      <c r="L45" s="39"/>
      <c r="M45" s="39"/>
      <c r="N45" s="39"/>
      <c r="O45" s="39"/>
      <c r="P45" s="39"/>
      <c r="Q45" s="39"/>
      <c r="R45" s="39"/>
      <c r="S45" s="39"/>
      <c r="T45" s="39"/>
      <c r="U45" s="39"/>
      <c r="V45" s="39"/>
      <c r="W45" s="39"/>
      <c r="X45" s="39"/>
      <c r="Y45" s="39"/>
      <c r="Z45" s="39"/>
    </row>
    <row r="46" spans="1:26" ht="15.75">
      <c r="A46" s="158" t="s">
        <v>127</v>
      </c>
      <c r="B46" s="67"/>
      <c r="C46" s="152"/>
      <c r="D46" s="152"/>
      <c r="E46" s="152"/>
      <c r="F46" s="39"/>
      <c r="G46" s="39"/>
      <c r="H46" s="39"/>
      <c r="I46" s="39"/>
      <c r="J46" s="39"/>
      <c r="K46" s="39"/>
      <c r="L46" s="39"/>
      <c r="M46" s="39"/>
      <c r="N46" s="39"/>
      <c r="O46" s="39"/>
      <c r="P46" s="39"/>
      <c r="Q46" s="39"/>
      <c r="R46" s="39"/>
      <c r="S46" s="39"/>
      <c r="T46" s="39"/>
      <c r="U46" s="39"/>
      <c r="V46" s="39"/>
      <c r="W46" s="39"/>
      <c r="X46" s="39"/>
      <c r="Y46" s="39"/>
      <c r="Z46" s="39"/>
    </row>
    <row r="47" spans="1:26" ht="15.75">
      <c r="A47" s="17" t="s">
        <v>52</v>
      </c>
      <c r="B47" s="67">
        <v>7</v>
      </c>
      <c r="C47" s="152"/>
      <c r="D47" s="152"/>
      <c r="E47" s="152"/>
      <c r="F47" s="39"/>
      <c r="G47" s="39"/>
      <c r="H47" s="39"/>
      <c r="I47" s="39"/>
      <c r="J47" s="39"/>
      <c r="K47" s="39"/>
      <c r="L47" s="39"/>
      <c r="M47" s="39"/>
      <c r="N47" s="39"/>
      <c r="O47" s="39"/>
      <c r="P47" s="39"/>
      <c r="Q47" s="39"/>
      <c r="R47" s="39"/>
      <c r="S47" s="39"/>
      <c r="T47" s="39"/>
      <c r="U47" s="39"/>
      <c r="V47" s="39"/>
      <c r="W47" s="39"/>
      <c r="X47" s="39"/>
      <c r="Y47" s="39"/>
      <c r="Z47" s="39"/>
    </row>
    <row r="48" spans="1:26" ht="15.75">
      <c r="A48" s="17" t="s">
        <v>128</v>
      </c>
      <c r="B48" s="66">
        <v>-5</v>
      </c>
      <c r="C48" s="152"/>
      <c r="D48" s="152"/>
      <c r="E48" s="152"/>
      <c r="F48" s="39"/>
      <c r="G48" s="39"/>
      <c r="H48" s="39"/>
      <c r="I48" s="39"/>
      <c r="J48" s="39"/>
      <c r="K48" s="39"/>
      <c r="L48" s="39"/>
      <c r="M48" s="39"/>
      <c r="N48" s="39"/>
      <c r="O48" s="39"/>
      <c r="P48" s="39"/>
      <c r="Q48" s="39"/>
      <c r="R48" s="39"/>
      <c r="S48" s="39"/>
      <c r="T48" s="39"/>
      <c r="U48" s="39"/>
      <c r="V48" s="39"/>
      <c r="W48" s="39"/>
      <c r="X48" s="39"/>
      <c r="Y48" s="39"/>
      <c r="Z48" s="39"/>
    </row>
    <row r="49" spans="1:26" ht="15.75">
      <c r="A49" s="17" t="s">
        <v>129</v>
      </c>
      <c r="B49" s="66">
        <v>-10</v>
      </c>
      <c r="C49" s="152"/>
      <c r="D49" s="152"/>
      <c r="E49" s="152"/>
      <c r="F49" s="39"/>
      <c r="G49" s="39"/>
      <c r="H49" s="39"/>
      <c r="I49" s="39"/>
      <c r="J49" s="39"/>
      <c r="K49" s="39"/>
      <c r="L49" s="39"/>
      <c r="M49" s="39"/>
      <c r="N49" s="39"/>
      <c r="O49" s="39"/>
      <c r="P49" s="39"/>
      <c r="Q49" s="39"/>
      <c r="R49" s="39"/>
      <c r="S49" s="39"/>
      <c r="T49" s="39"/>
      <c r="U49" s="39"/>
      <c r="V49" s="39"/>
      <c r="W49" s="39"/>
      <c r="X49" s="39"/>
      <c r="Y49" s="39"/>
      <c r="Z49" s="39"/>
    </row>
    <row r="50" spans="1:26" ht="31.5">
      <c r="A50" s="59" t="s">
        <v>312</v>
      </c>
      <c r="B50" s="161">
        <f>SUM(B52,B57)</f>
        <v>10</v>
      </c>
      <c r="C50" s="156"/>
      <c r="D50" s="156"/>
      <c r="E50" s="156"/>
      <c r="F50" s="39"/>
      <c r="G50" s="39"/>
      <c r="H50" s="39"/>
      <c r="I50" s="39"/>
      <c r="J50" s="39"/>
      <c r="K50" s="39"/>
      <c r="L50" s="39"/>
      <c r="M50" s="39"/>
      <c r="N50" s="39"/>
      <c r="O50" s="39"/>
      <c r="P50" s="39"/>
      <c r="Q50" s="39"/>
      <c r="R50" s="39"/>
      <c r="S50" s="39"/>
      <c r="T50" s="39"/>
      <c r="U50" s="39"/>
      <c r="V50" s="39"/>
      <c r="W50" s="39"/>
      <c r="X50" s="39"/>
      <c r="Y50" s="39"/>
      <c r="Z50" s="39"/>
    </row>
    <row r="51" spans="1:26" ht="47.25">
      <c r="A51" s="60" t="s">
        <v>313</v>
      </c>
      <c r="B51" s="152"/>
      <c r="C51" s="152"/>
      <c r="D51" s="152"/>
      <c r="E51" s="152"/>
      <c r="F51" s="39"/>
      <c r="G51" s="39"/>
      <c r="H51" s="39"/>
      <c r="I51" s="39"/>
      <c r="J51" s="39"/>
      <c r="K51" s="39"/>
      <c r="L51" s="39"/>
      <c r="M51" s="39"/>
      <c r="N51" s="39"/>
      <c r="O51" s="39"/>
      <c r="P51" s="39"/>
      <c r="Q51" s="39"/>
      <c r="R51" s="39"/>
      <c r="S51" s="39"/>
      <c r="T51" s="39"/>
      <c r="U51" s="39"/>
      <c r="V51" s="39"/>
      <c r="W51" s="39"/>
      <c r="X51" s="39"/>
      <c r="Y51" s="39"/>
      <c r="Z51" s="39"/>
    </row>
    <row r="52" spans="1:26" ht="15.75">
      <c r="A52" s="61" t="s">
        <v>314</v>
      </c>
      <c r="B52" s="162">
        <v>7</v>
      </c>
      <c r="C52" s="152"/>
      <c r="D52" s="152"/>
      <c r="E52" s="152"/>
      <c r="F52" s="39"/>
      <c r="G52" s="39"/>
      <c r="H52" s="39"/>
      <c r="I52" s="39"/>
      <c r="J52" s="39"/>
      <c r="K52" s="39"/>
      <c r="L52" s="39"/>
      <c r="M52" s="39"/>
      <c r="N52" s="39"/>
      <c r="O52" s="39"/>
      <c r="P52" s="39"/>
      <c r="Q52" s="39"/>
      <c r="R52" s="39"/>
      <c r="S52" s="39"/>
      <c r="T52" s="39"/>
      <c r="U52" s="39"/>
      <c r="V52" s="39"/>
      <c r="W52" s="39"/>
      <c r="X52" s="39"/>
      <c r="Y52" s="39"/>
      <c r="Z52" s="39"/>
    </row>
    <row r="53" spans="1:26" ht="15.75">
      <c r="A53" s="61" t="s">
        <v>315</v>
      </c>
      <c r="B53" s="163">
        <v>5</v>
      </c>
      <c r="C53" s="152"/>
      <c r="D53" s="152"/>
      <c r="E53" s="152"/>
      <c r="F53" s="39"/>
      <c r="G53" s="39"/>
      <c r="H53" s="39"/>
      <c r="I53" s="39"/>
      <c r="J53" s="39"/>
      <c r="K53" s="39"/>
      <c r="L53" s="39"/>
      <c r="M53" s="39"/>
      <c r="N53" s="39"/>
      <c r="O53" s="39"/>
      <c r="P53" s="39"/>
      <c r="Q53" s="39"/>
      <c r="R53" s="39"/>
      <c r="S53" s="39"/>
      <c r="T53" s="39"/>
      <c r="U53" s="39"/>
      <c r="V53" s="39"/>
      <c r="W53" s="39"/>
      <c r="X53" s="39"/>
      <c r="Y53" s="39"/>
      <c r="Z53" s="39"/>
    </row>
    <row r="54" spans="1:26" ht="15.75">
      <c r="A54" s="61" t="s">
        <v>316</v>
      </c>
      <c r="B54" s="163">
        <v>3</v>
      </c>
      <c r="C54" s="152"/>
      <c r="D54" s="152"/>
      <c r="E54" s="152"/>
      <c r="F54" s="39"/>
      <c r="G54" s="39"/>
      <c r="H54" s="39"/>
      <c r="I54" s="39"/>
      <c r="J54" s="39"/>
      <c r="K54" s="39"/>
      <c r="L54" s="39"/>
      <c r="M54" s="39"/>
      <c r="N54" s="39"/>
      <c r="O54" s="39"/>
      <c r="P54" s="39"/>
      <c r="Q54" s="39"/>
      <c r="R54" s="39"/>
      <c r="S54" s="39"/>
      <c r="T54" s="39"/>
      <c r="U54" s="39"/>
      <c r="V54" s="39"/>
      <c r="W54" s="39"/>
      <c r="X54" s="39"/>
      <c r="Y54" s="39"/>
      <c r="Z54" s="39"/>
    </row>
    <row r="55" spans="1:26" ht="15.75">
      <c r="A55" s="62" t="s">
        <v>138</v>
      </c>
      <c r="B55" s="163">
        <v>0</v>
      </c>
      <c r="C55" s="152"/>
      <c r="D55" s="152"/>
      <c r="E55" s="152"/>
      <c r="F55" s="39"/>
      <c r="G55" s="39"/>
      <c r="H55" s="39"/>
      <c r="I55" s="39"/>
      <c r="J55" s="39"/>
      <c r="K55" s="39"/>
      <c r="L55" s="39"/>
      <c r="M55" s="39"/>
      <c r="N55" s="39"/>
      <c r="O55" s="39"/>
      <c r="P55" s="39"/>
      <c r="Q55" s="39"/>
      <c r="R55" s="39"/>
      <c r="S55" s="39"/>
      <c r="T55" s="39"/>
      <c r="U55" s="39"/>
      <c r="V55" s="39"/>
      <c r="W55" s="39"/>
      <c r="X55" s="39"/>
      <c r="Y55" s="39"/>
      <c r="Z55" s="39"/>
    </row>
    <row r="56" spans="1:26" ht="31.5">
      <c r="A56" s="60" t="s">
        <v>317</v>
      </c>
      <c r="B56" s="163"/>
      <c r="C56" s="152"/>
      <c r="D56" s="152"/>
      <c r="E56" s="152"/>
      <c r="F56" s="39"/>
      <c r="G56" s="39"/>
      <c r="H56" s="39"/>
      <c r="I56" s="39"/>
      <c r="J56" s="39"/>
      <c r="K56" s="39"/>
      <c r="L56" s="39"/>
      <c r="M56" s="39"/>
      <c r="N56" s="39"/>
      <c r="O56" s="39"/>
      <c r="P56" s="39"/>
      <c r="Q56" s="39"/>
      <c r="R56" s="39"/>
      <c r="S56" s="39"/>
      <c r="T56" s="39"/>
      <c r="U56" s="39"/>
      <c r="V56" s="39"/>
      <c r="W56" s="39"/>
      <c r="X56" s="39"/>
      <c r="Y56" s="39"/>
      <c r="Z56" s="39"/>
    </row>
    <row r="57" spans="1:26" ht="15.75">
      <c r="A57" s="62" t="s">
        <v>318</v>
      </c>
      <c r="B57" s="153">
        <v>3</v>
      </c>
      <c r="C57" s="152"/>
      <c r="D57" s="152"/>
      <c r="E57" s="152"/>
      <c r="F57" s="39"/>
      <c r="G57" s="39"/>
      <c r="H57" s="39"/>
      <c r="I57" s="39"/>
      <c r="J57" s="39"/>
      <c r="K57" s="39"/>
      <c r="L57" s="39"/>
      <c r="M57" s="39"/>
      <c r="N57" s="39"/>
      <c r="O57" s="39"/>
      <c r="P57" s="39"/>
      <c r="Q57" s="39"/>
      <c r="R57" s="39"/>
      <c r="S57" s="39"/>
      <c r="T57" s="39"/>
      <c r="U57" s="39"/>
      <c r="V57" s="39"/>
      <c r="W57" s="39"/>
      <c r="X57" s="39"/>
      <c r="Y57" s="39"/>
      <c r="Z57" s="39"/>
    </row>
    <row r="58" spans="1:26" ht="15.75">
      <c r="A58" s="62" t="s">
        <v>319</v>
      </c>
      <c r="B58" s="163">
        <v>1</v>
      </c>
      <c r="C58" s="152"/>
      <c r="D58" s="152"/>
      <c r="E58" s="152"/>
      <c r="F58" s="39"/>
      <c r="G58" s="39"/>
      <c r="H58" s="39"/>
      <c r="I58" s="39"/>
      <c r="J58" s="39"/>
      <c r="K58" s="39"/>
      <c r="L58" s="39"/>
      <c r="M58" s="39"/>
      <c r="N58" s="39"/>
      <c r="O58" s="39"/>
      <c r="P58" s="39"/>
      <c r="Q58" s="39"/>
      <c r="R58" s="39"/>
      <c r="S58" s="39"/>
      <c r="T58" s="39"/>
      <c r="U58" s="39"/>
      <c r="V58" s="39"/>
      <c r="W58" s="39"/>
      <c r="X58" s="39"/>
      <c r="Y58" s="39"/>
      <c r="Z58" s="39"/>
    </row>
    <row r="59" spans="1:26" ht="15.75">
      <c r="A59" s="62" t="s">
        <v>143</v>
      </c>
      <c r="B59" s="163">
        <v>0</v>
      </c>
      <c r="C59" s="152"/>
      <c r="D59" s="152"/>
      <c r="E59" s="152"/>
      <c r="F59" s="39"/>
      <c r="G59" s="39"/>
      <c r="H59" s="39"/>
      <c r="I59" s="39"/>
      <c r="J59" s="39"/>
      <c r="K59" s="39"/>
      <c r="L59" s="39"/>
      <c r="M59" s="39"/>
      <c r="N59" s="39"/>
      <c r="O59" s="39"/>
      <c r="P59" s="39"/>
      <c r="Q59" s="39"/>
      <c r="R59" s="39"/>
      <c r="S59" s="39"/>
      <c r="T59" s="39"/>
      <c r="U59" s="39"/>
      <c r="V59" s="39"/>
      <c r="W59" s="39"/>
      <c r="X59" s="39"/>
      <c r="Y59" s="39"/>
      <c r="Z59" s="39"/>
    </row>
    <row r="60" spans="1:26" ht="15.75">
      <c r="A60" s="164" t="s">
        <v>139</v>
      </c>
      <c r="B60" s="161">
        <f>SUM(B62,B66,B69,B74)</f>
        <v>15</v>
      </c>
      <c r="C60" s="156"/>
      <c r="D60" s="156"/>
      <c r="E60" s="156"/>
      <c r="F60" s="39"/>
      <c r="G60" s="39"/>
      <c r="H60" s="39"/>
      <c r="I60" s="39"/>
      <c r="J60" s="39"/>
      <c r="K60" s="39"/>
      <c r="L60" s="39"/>
      <c r="M60" s="39"/>
      <c r="N60" s="39"/>
      <c r="O60" s="39"/>
      <c r="P60" s="39"/>
      <c r="Q60" s="39"/>
      <c r="R60" s="39"/>
      <c r="S60" s="39"/>
      <c r="T60" s="39"/>
      <c r="U60" s="39"/>
      <c r="V60" s="39"/>
      <c r="W60" s="39"/>
      <c r="X60" s="39"/>
      <c r="Y60" s="39"/>
      <c r="Z60" s="39"/>
    </row>
    <row r="61" spans="1:26" ht="31.5">
      <c r="A61" s="159" t="s">
        <v>320</v>
      </c>
      <c r="B61" s="152"/>
      <c r="C61" s="152"/>
      <c r="D61" s="152"/>
      <c r="E61" s="152"/>
      <c r="F61" s="39"/>
      <c r="G61" s="39"/>
      <c r="H61" s="39"/>
      <c r="I61" s="39"/>
      <c r="J61" s="39"/>
      <c r="K61" s="39"/>
      <c r="L61" s="39"/>
      <c r="M61" s="39"/>
      <c r="N61" s="39"/>
      <c r="O61" s="39"/>
      <c r="P61" s="39"/>
      <c r="Q61" s="39"/>
      <c r="R61" s="39"/>
      <c r="S61" s="39"/>
      <c r="T61" s="39"/>
      <c r="U61" s="39"/>
      <c r="V61" s="39"/>
      <c r="W61" s="39"/>
      <c r="X61" s="39"/>
      <c r="Y61" s="39"/>
      <c r="Z61" s="39"/>
    </row>
    <row r="62" spans="1:26" ht="15.75">
      <c r="A62" s="165" t="s">
        <v>141</v>
      </c>
      <c r="B62" s="153">
        <v>3</v>
      </c>
      <c r="C62" s="152"/>
      <c r="D62" s="152"/>
      <c r="E62" s="152"/>
      <c r="F62" s="39"/>
      <c r="G62" s="39"/>
      <c r="H62" s="39"/>
      <c r="I62" s="39"/>
      <c r="J62" s="39"/>
      <c r="K62" s="39"/>
      <c r="L62" s="39"/>
      <c r="M62" s="39"/>
      <c r="N62" s="39"/>
      <c r="O62" s="39"/>
      <c r="P62" s="39"/>
      <c r="Q62" s="39"/>
      <c r="R62" s="39"/>
      <c r="S62" s="39"/>
      <c r="T62" s="39"/>
      <c r="U62" s="39"/>
      <c r="V62" s="39"/>
      <c r="W62" s="39"/>
      <c r="X62" s="39"/>
      <c r="Y62" s="39"/>
      <c r="Z62" s="39"/>
    </row>
    <row r="63" spans="1:26" ht="15.75">
      <c r="A63" s="165" t="s">
        <v>142</v>
      </c>
      <c r="B63" s="163">
        <v>2</v>
      </c>
      <c r="C63" s="152"/>
      <c r="D63" s="152"/>
      <c r="E63" s="152"/>
      <c r="F63" s="39"/>
      <c r="G63" s="39"/>
      <c r="H63" s="39"/>
      <c r="I63" s="39"/>
      <c r="J63" s="39"/>
      <c r="K63" s="39"/>
      <c r="L63" s="39"/>
      <c r="M63" s="39"/>
      <c r="N63" s="39"/>
      <c r="O63" s="39"/>
      <c r="P63" s="39"/>
      <c r="Q63" s="39"/>
      <c r="R63" s="39"/>
      <c r="S63" s="39"/>
      <c r="T63" s="39"/>
      <c r="U63" s="39"/>
      <c r="V63" s="39"/>
      <c r="W63" s="39"/>
      <c r="X63" s="39"/>
      <c r="Y63" s="39"/>
      <c r="Z63" s="39"/>
    </row>
    <row r="64" spans="1:26" ht="15.75">
      <c r="A64" s="165" t="s">
        <v>143</v>
      </c>
      <c r="B64" s="163">
        <v>0</v>
      </c>
      <c r="C64" s="152"/>
      <c r="D64" s="152"/>
      <c r="E64" s="152"/>
      <c r="F64" s="39"/>
      <c r="G64" s="39"/>
      <c r="H64" s="39"/>
      <c r="I64" s="39"/>
      <c r="J64" s="39"/>
      <c r="K64" s="39"/>
      <c r="L64" s="39"/>
      <c r="M64" s="39"/>
      <c r="N64" s="39"/>
      <c r="O64" s="39"/>
      <c r="P64" s="39"/>
      <c r="Q64" s="39"/>
      <c r="R64" s="39"/>
      <c r="S64" s="39"/>
      <c r="T64" s="39"/>
      <c r="U64" s="39"/>
      <c r="V64" s="39"/>
      <c r="W64" s="39"/>
      <c r="X64" s="39"/>
      <c r="Y64" s="39"/>
      <c r="Z64" s="39"/>
    </row>
    <row r="65" spans="1:26" ht="31.5">
      <c r="A65" s="159" t="s">
        <v>144</v>
      </c>
      <c r="B65" s="152"/>
      <c r="C65" s="152"/>
      <c r="D65" s="152"/>
      <c r="E65" s="152"/>
      <c r="F65" s="39"/>
      <c r="G65" s="39"/>
      <c r="H65" s="39"/>
      <c r="I65" s="39"/>
      <c r="J65" s="39"/>
      <c r="K65" s="39"/>
      <c r="L65" s="39"/>
      <c r="M65" s="39"/>
      <c r="N65" s="39"/>
      <c r="O65" s="39"/>
      <c r="P65" s="39"/>
      <c r="Q65" s="39"/>
      <c r="R65" s="39"/>
      <c r="S65" s="39"/>
      <c r="T65" s="39"/>
      <c r="U65" s="39"/>
      <c r="V65" s="39"/>
      <c r="W65" s="39"/>
      <c r="X65" s="39"/>
      <c r="Y65" s="39"/>
      <c r="Z65" s="39"/>
    </row>
    <row r="66" spans="1:26" ht="15.75">
      <c r="A66" s="18" t="s">
        <v>145</v>
      </c>
      <c r="B66" s="153">
        <v>5</v>
      </c>
      <c r="C66" s="152"/>
      <c r="D66" s="152"/>
      <c r="E66" s="152"/>
      <c r="F66" s="39"/>
      <c r="G66" s="39"/>
      <c r="H66" s="39"/>
      <c r="I66" s="39"/>
      <c r="J66" s="39"/>
      <c r="K66" s="39"/>
      <c r="L66" s="39"/>
      <c r="M66" s="39"/>
      <c r="N66" s="39"/>
      <c r="O66" s="39"/>
      <c r="P66" s="39"/>
      <c r="Q66" s="39"/>
      <c r="R66" s="39"/>
      <c r="S66" s="39"/>
      <c r="T66" s="39"/>
      <c r="U66" s="39"/>
      <c r="V66" s="39"/>
      <c r="W66" s="39"/>
      <c r="X66" s="39"/>
      <c r="Y66" s="39"/>
      <c r="Z66" s="39"/>
    </row>
    <row r="67" spans="1:26" ht="15.75">
      <c r="A67" s="18" t="s">
        <v>146</v>
      </c>
      <c r="B67" s="163">
        <v>0</v>
      </c>
      <c r="C67" s="152"/>
      <c r="D67" s="152"/>
      <c r="E67" s="152"/>
      <c r="F67" s="39"/>
      <c r="G67" s="39"/>
      <c r="H67" s="39"/>
      <c r="I67" s="39"/>
      <c r="J67" s="39"/>
      <c r="K67" s="39"/>
      <c r="L67" s="39"/>
      <c r="M67" s="39"/>
      <c r="N67" s="39"/>
      <c r="O67" s="39"/>
      <c r="P67" s="39"/>
      <c r="Q67" s="39"/>
      <c r="R67" s="39"/>
      <c r="S67" s="39"/>
      <c r="T67" s="39"/>
      <c r="U67" s="39"/>
      <c r="V67" s="39"/>
      <c r="W67" s="39"/>
      <c r="X67" s="39"/>
      <c r="Y67" s="39"/>
      <c r="Z67" s="39"/>
    </row>
    <row r="68" spans="1:26" ht="30" customHeight="1">
      <c r="A68" s="159" t="s">
        <v>147</v>
      </c>
      <c r="B68" s="152"/>
      <c r="C68" s="152"/>
      <c r="D68" s="152"/>
      <c r="E68" s="152"/>
      <c r="F68" s="39"/>
      <c r="G68" s="39"/>
      <c r="H68" s="39"/>
      <c r="I68" s="39"/>
      <c r="J68" s="39"/>
      <c r="K68" s="39"/>
      <c r="L68" s="39"/>
      <c r="M68" s="39"/>
      <c r="N68" s="39"/>
      <c r="O68" s="39"/>
      <c r="P68" s="39"/>
      <c r="Q68" s="39"/>
      <c r="R68" s="39"/>
      <c r="S68" s="39"/>
      <c r="T68" s="39"/>
      <c r="U68" s="39"/>
      <c r="V68" s="39"/>
      <c r="W68" s="39"/>
      <c r="X68" s="39"/>
      <c r="Y68" s="39"/>
      <c r="Z68" s="39"/>
    </row>
    <row r="69" spans="1:26" ht="47.25">
      <c r="A69" s="18" t="s">
        <v>148</v>
      </c>
      <c r="B69" s="153">
        <v>2</v>
      </c>
      <c r="C69" s="152"/>
      <c r="D69" s="152"/>
      <c r="E69" s="152"/>
      <c r="F69" s="39"/>
      <c r="G69" s="39"/>
      <c r="H69" s="39"/>
      <c r="I69" s="39"/>
      <c r="J69" s="39"/>
      <c r="K69" s="39"/>
      <c r="L69" s="39"/>
      <c r="M69" s="39"/>
      <c r="N69" s="39"/>
      <c r="O69" s="39"/>
      <c r="P69" s="39"/>
      <c r="Q69" s="39"/>
      <c r="R69" s="39"/>
      <c r="S69" s="39"/>
      <c r="T69" s="39"/>
      <c r="U69" s="39"/>
      <c r="V69" s="39"/>
      <c r="W69" s="39"/>
      <c r="X69" s="39"/>
      <c r="Y69" s="39"/>
      <c r="Z69" s="39"/>
    </row>
    <row r="70" spans="1:26" ht="15.75">
      <c r="A70" s="18" t="s">
        <v>149</v>
      </c>
      <c r="B70" s="163">
        <v>1</v>
      </c>
      <c r="C70" s="152"/>
      <c r="D70" s="152"/>
      <c r="E70" s="152"/>
      <c r="F70" s="39"/>
      <c r="G70" s="39"/>
      <c r="H70" s="39"/>
      <c r="I70" s="39"/>
      <c r="J70" s="39"/>
      <c r="K70" s="39"/>
      <c r="L70" s="39"/>
      <c r="M70" s="39"/>
      <c r="N70" s="39"/>
      <c r="O70" s="39"/>
      <c r="P70" s="39"/>
      <c r="Q70" s="39"/>
      <c r="R70" s="39"/>
      <c r="S70" s="39"/>
      <c r="T70" s="39"/>
      <c r="U70" s="39"/>
      <c r="V70" s="39"/>
      <c r="W70" s="39"/>
      <c r="X70" s="39"/>
      <c r="Y70" s="39"/>
      <c r="Z70" s="39"/>
    </row>
    <row r="71" spans="1:26" ht="15.75">
      <c r="A71" s="18" t="s">
        <v>63</v>
      </c>
      <c r="B71" s="163">
        <v>0</v>
      </c>
      <c r="C71" s="152"/>
      <c r="D71" s="152"/>
      <c r="E71" s="152"/>
      <c r="F71" s="39"/>
      <c r="G71" s="39"/>
      <c r="H71" s="39"/>
      <c r="I71" s="39"/>
      <c r="J71" s="39"/>
      <c r="K71" s="39"/>
      <c r="L71" s="39"/>
      <c r="M71" s="39"/>
      <c r="N71" s="39"/>
      <c r="O71" s="39"/>
      <c r="P71" s="39"/>
      <c r="Q71" s="39"/>
      <c r="R71" s="39"/>
      <c r="S71" s="39"/>
      <c r="T71" s="39"/>
      <c r="U71" s="39"/>
      <c r="V71" s="39"/>
      <c r="W71" s="39"/>
      <c r="X71" s="39"/>
      <c r="Y71" s="39"/>
      <c r="Z71" s="39"/>
    </row>
    <row r="72" spans="1:26" ht="30.75">
      <c r="A72" s="18" t="s">
        <v>321</v>
      </c>
      <c r="B72" s="163">
        <v>-5</v>
      </c>
      <c r="C72" s="152"/>
      <c r="D72" s="152"/>
      <c r="E72" s="152"/>
      <c r="F72" s="39"/>
      <c r="G72" s="39"/>
      <c r="H72" s="39"/>
      <c r="I72" s="39"/>
      <c r="J72" s="39"/>
      <c r="K72" s="39"/>
      <c r="L72" s="39"/>
      <c r="M72" s="39"/>
      <c r="N72" s="39"/>
      <c r="O72" s="39"/>
      <c r="P72" s="39"/>
      <c r="Q72" s="39"/>
      <c r="R72" s="39"/>
      <c r="S72" s="39"/>
      <c r="T72" s="39"/>
      <c r="U72" s="39"/>
      <c r="V72" s="39"/>
      <c r="W72" s="39"/>
      <c r="X72" s="39"/>
      <c r="Y72" s="39"/>
      <c r="Z72" s="39"/>
    </row>
    <row r="73" spans="1:26" ht="15.75">
      <c r="A73" s="60" t="s">
        <v>151</v>
      </c>
      <c r="B73" s="46"/>
      <c r="C73" s="152"/>
      <c r="D73" s="152"/>
      <c r="E73" s="152"/>
      <c r="F73" s="39"/>
      <c r="G73" s="39"/>
      <c r="H73" s="39"/>
      <c r="I73" s="39"/>
      <c r="J73" s="39"/>
      <c r="K73" s="39"/>
      <c r="L73" s="39"/>
      <c r="M73" s="39"/>
      <c r="N73" s="39"/>
      <c r="O73" s="39"/>
      <c r="P73" s="39"/>
      <c r="Q73" s="39"/>
      <c r="R73" s="39"/>
      <c r="S73" s="39"/>
      <c r="T73" s="39"/>
      <c r="U73" s="39"/>
      <c r="V73" s="39"/>
      <c r="W73" s="39"/>
      <c r="X73" s="39"/>
      <c r="Y73" s="39"/>
      <c r="Z73" s="39"/>
    </row>
    <row r="74" spans="1:26" ht="15.75">
      <c r="A74" s="62" t="s">
        <v>152</v>
      </c>
      <c r="B74" s="46">
        <v>5</v>
      </c>
      <c r="C74" s="152"/>
      <c r="D74" s="152"/>
      <c r="E74" s="152"/>
      <c r="F74" s="39"/>
      <c r="G74" s="39"/>
      <c r="H74" s="39"/>
      <c r="I74" s="39"/>
      <c r="J74" s="39"/>
      <c r="K74" s="39"/>
      <c r="L74" s="39"/>
      <c r="M74" s="39"/>
      <c r="N74" s="39"/>
      <c r="O74" s="39"/>
      <c r="P74" s="39"/>
      <c r="Q74" s="39"/>
      <c r="R74" s="39"/>
      <c r="S74" s="39"/>
      <c r="T74" s="39"/>
      <c r="U74" s="39"/>
      <c r="V74" s="39"/>
      <c r="W74" s="39"/>
      <c r="X74" s="39"/>
      <c r="Y74" s="39"/>
      <c r="Z74" s="39"/>
    </row>
    <row r="75" spans="1:26" ht="15.75">
      <c r="A75" s="62" t="s">
        <v>153</v>
      </c>
      <c r="B75" s="54">
        <v>0</v>
      </c>
      <c r="C75" s="152"/>
      <c r="D75" s="152"/>
      <c r="E75" s="152"/>
      <c r="F75" s="39"/>
      <c r="G75" s="39"/>
      <c r="H75" s="39"/>
      <c r="I75" s="39"/>
      <c r="J75" s="39"/>
      <c r="K75" s="39"/>
      <c r="L75" s="39"/>
      <c r="M75" s="39"/>
      <c r="N75" s="39"/>
      <c r="O75" s="39"/>
      <c r="P75" s="39"/>
      <c r="Q75" s="39"/>
      <c r="R75" s="39"/>
      <c r="S75" s="39"/>
      <c r="T75" s="39"/>
      <c r="U75" s="39"/>
      <c r="V75" s="39"/>
      <c r="W75" s="39"/>
      <c r="X75" s="39"/>
      <c r="Y75" s="39"/>
      <c r="Z75" s="39"/>
    </row>
    <row r="76" spans="1:26" ht="15.75">
      <c r="A76" s="17" t="s">
        <v>154</v>
      </c>
      <c r="B76" s="66"/>
      <c r="C76" s="152"/>
      <c r="D76" s="152"/>
      <c r="E76" s="152"/>
      <c r="F76" s="39"/>
      <c r="G76" s="39"/>
      <c r="H76" s="39"/>
      <c r="I76" s="39"/>
      <c r="J76" s="39"/>
      <c r="K76" s="39"/>
      <c r="L76" s="39"/>
      <c r="M76" s="39"/>
      <c r="N76" s="39"/>
      <c r="O76" s="39"/>
      <c r="P76" s="39"/>
      <c r="Q76" s="39"/>
      <c r="R76" s="39"/>
      <c r="S76" s="39"/>
      <c r="T76" s="39"/>
      <c r="U76" s="39"/>
      <c r="V76" s="39"/>
      <c r="W76" s="39"/>
      <c r="X76" s="39"/>
      <c r="Y76" s="39"/>
      <c r="Z76" s="39"/>
    </row>
    <row r="77" spans="1:26" ht="15.75">
      <c r="A77" s="63" t="s">
        <v>68</v>
      </c>
      <c r="B77" s="48">
        <f>SUM(B79,B84,B88,B91,B95,B99,B103,B108,B111,B115)</f>
        <v>40</v>
      </c>
      <c r="C77" s="156"/>
      <c r="D77" s="156"/>
      <c r="E77" s="156"/>
      <c r="F77" s="39"/>
      <c r="G77" s="39"/>
      <c r="H77" s="39"/>
      <c r="I77" s="39"/>
      <c r="J77" s="39"/>
      <c r="K77" s="39"/>
      <c r="L77" s="39"/>
      <c r="M77" s="39"/>
      <c r="N77" s="39"/>
      <c r="O77" s="39"/>
      <c r="P77" s="39"/>
      <c r="Q77" s="39"/>
      <c r="R77" s="39"/>
      <c r="S77" s="39"/>
      <c r="T77" s="39"/>
      <c r="U77" s="39"/>
      <c r="V77" s="39"/>
      <c r="W77" s="39"/>
      <c r="X77" s="39"/>
      <c r="Y77" s="39"/>
      <c r="Z77" s="39"/>
    </row>
    <row r="78" spans="1:26" ht="15.75">
      <c r="A78" s="50" t="s">
        <v>322</v>
      </c>
      <c r="B78" s="45"/>
      <c r="C78" s="152"/>
      <c r="D78" s="152"/>
      <c r="E78" s="152"/>
      <c r="F78" s="39"/>
      <c r="G78" s="39"/>
      <c r="H78" s="39"/>
      <c r="I78" s="39"/>
      <c r="J78" s="39"/>
      <c r="K78" s="39"/>
      <c r="L78" s="39"/>
      <c r="M78" s="39"/>
      <c r="N78" s="39"/>
      <c r="O78" s="39"/>
      <c r="P78" s="39"/>
      <c r="Q78" s="39"/>
      <c r="R78" s="39"/>
      <c r="S78" s="39"/>
      <c r="T78" s="39"/>
      <c r="U78" s="39"/>
      <c r="V78" s="39"/>
      <c r="W78" s="39"/>
      <c r="X78" s="39"/>
      <c r="Y78" s="39"/>
      <c r="Z78" s="39"/>
    </row>
    <row r="79" spans="1:26" ht="15.75">
      <c r="A79" s="51" t="s">
        <v>74</v>
      </c>
      <c r="B79" s="46">
        <v>3</v>
      </c>
      <c r="C79" s="152"/>
      <c r="D79" s="152"/>
      <c r="E79" s="152"/>
      <c r="F79" s="39"/>
      <c r="G79" s="39"/>
      <c r="H79" s="39"/>
      <c r="I79" s="39"/>
      <c r="J79" s="39"/>
      <c r="K79" s="39"/>
      <c r="L79" s="39"/>
      <c r="M79" s="39"/>
      <c r="N79" s="39"/>
      <c r="O79" s="39"/>
      <c r="P79" s="39"/>
      <c r="Q79" s="39"/>
      <c r="R79" s="39"/>
      <c r="S79" s="39"/>
      <c r="T79" s="39"/>
      <c r="U79" s="39"/>
      <c r="V79" s="39"/>
      <c r="W79" s="39"/>
      <c r="X79" s="39"/>
      <c r="Y79" s="39"/>
      <c r="Z79" s="39"/>
    </row>
    <row r="80" spans="1:26" ht="15.75">
      <c r="A80" s="51" t="s">
        <v>156</v>
      </c>
      <c r="B80" s="54">
        <v>2</v>
      </c>
      <c r="C80" s="152"/>
      <c r="D80" s="152"/>
      <c r="E80" s="152"/>
      <c r="F80" s="39"/>
      <c r="G80" s="39"/>
      <c r="H80" s="39"/>
      <c r="I80" s="39"/>
      <c r="J80" s="39"/>
      <c r="K80" s="39"/>
      <c r="L80" s="39"/>
      <c r="M80" s="39"/>
      <c r="N80" s="39"/>
      <c r="O80" s="39"/>
      <c r="P80" s="39"/>
      <c r="Q80" s="39"/>
      <c r="R80" s="39"/>
      <c r="S80" s="39"/>
      <c r="T80" s="39"/>
      <c r="U80" s="39"/>
      <c r="V80" s="39"/>
      <c r="W80" s="39"/>
      <c r="X80" s="39"/>
      <c r="Y80" s="39"/>
      <c r="Z80" s="39"/>
    </row>
    <row r="81" spans="1:26" ht="15.75">
      <c r="A81" s="51" t="s">
        <v>157</v>
      </c>
      <c r="B81" s="54">
        <v>0</v>
      </c>
      <c r="C81" s="152"/>
      <c r="D81" s="152"/>
      <c r="E81" s="152"/>
      <c r="F81" s="39"/>
      <c r="G81" s="39"/>
      <c r="H81" s="39"/>
      <c r="I81" s="39"/>
      <c r="J81" s="39"/>
      <c r="K81" s="39"/>
      <c r="L81" s="39"/>
      <c r="M81" s="39"/>
      <c r="N81" s="39"/>
      <c r="O81" s="39"/>
      <c r="P81" s="39"/>
      <c r="Q81" s="39"/>
      <c r="R81" s="39"/>
      <c r="S81" s="39"/>
      <c r="T81" s="39"/>
      <c r="U81" s="39"/>
      <c r="V81" s="39"/>
      <c r="W81" s="39"/>
      <c r="X81" s="39"/>
      <c r="Y81" s="39"/>
      <c r="Z81" s="39"/>
    </row>
    <row r="82" spans="1:26" ht="15.75">
      <c r="A82" s="51" t="s">
        <v>158</v>
      </c>
      <c r="B82" s="54">
        <v>-5</v>
      </c>
      <c r="C82" s="152"/>
      <c r="D82" s="152"/>
      <c r="E82" s="152"/>
      <c r="F82" s="39"/>
      <c r="G82" s="39"/>
      <c r="H82" s="39"/>
      <c r="I82" s="39"/>
      <c r="J82" s="39"/>
      <c r="K82" s="39"/>
      <c r="L82" s="39"/>
      <c r="M82" s="39"/>
      <c r="N82" s="39"/>
      <c r="O82" s="39"/>
      <c r="P82" s="39"/>
      <c r="Q82" s="39"/>
      <c r="R82" s="39"/>
      <c r="S82" s="39"/>
      <c r="T82" s="39"/>
      <c r="U82" s="39"/>
      <c r="V82" s="39"/>
      <c r="W82" s="39"/>
      <c r="X82" s="39"/>
      <c r="Y82" s="39"/>
      <c r="Z82" s="39"/>
    </row>
    <row r="83" spans="1:26" ht="15.75">
      <c r="A83" s="50" t="s">
        <v>323</v>
      </c>
      <c r="B83" s="45"/>
      <c r="C83" s="152"/>
      <c r="D83" s="152"/>
      <c r="E83" s="152"/>
      <c r="F83" s="39"/>
      <c r="G83" s="39"/>
      <c r="H83" s="39"/>
      <c r="I83" s="39"/>
      <c r="J83" s="39"/>
      <c r="K83" s="39"/>
      <c r="L83" s="39"/>
      <c r="M83" s="39"/>
      <c r="N83" s="39"/>
      <c r="O83" s="39"/>
      <c r="P83" s="39"/>
      <c r="Q83" s="39"/>
      <c r="R83" s="39"/>
      <c r="S83" s="39"/>
      <c r="T83" s="39"/>
      <c r="U83" s="39"/>
      <c r="V83" s="39"/>
      <c r="W83" s="39"/>
      <c r="X83" s="39"/>
      <c r="Y83" s="39"/>
      <c r="Z83" s="39"/>
    </row>
    <row r="84" spans="1:26" ht="15.75">
      <c r="A84" s="51" t="s">
        <v>78</v>
      </c>
      <c r="B84" s="46">
        <v>5</v>
      </c>
      <c r="C84" s="152"/>
      <c r="D84" s="152"/>
      <c r="E84" s="152"/>
      <c r="F84" s="39"/>
      <c r="G84" s="39"/>
      <c r="H84" s="39"/>
      <c r="I84" s="39"/>
      <c r="J84" s="39"/>
      <c r="K84" s="39"/>
      <c r="L84" s="39"/>
      <c r="M84" s="39"/>
      <c r="N84" s="39"/>
      <c r="O84" s="39"/>
      <c r="P84" s="39"/>
      <c r="Q84" s="39"/>
      <c r="R84" s="39"/>
      <c r="S84" s="39"/>
      <c r="T84" s="39"/>
      <c r="U84" s="39"/>
      <c r="V84" s="39"/>
      <c r="W84" s="39"/>
      <c r="X84" s="39"/>
      <c r="Y84" s="39"/>
      <c r="Z84" s="39"/>
    </row>
    <row r="85" spans="1:26" ht="15.75">
      <c r="A85" s="51" t="s">
        <v>79</v>
      </c>
      <c r="B85" s="54">
        <v>3</v>
      </c>
      <c r="C85" s="152"/>
      <c r="D85" s="152"/>
      <c r="E85" s="152"/>
      <c r="F85" s="39"/>
      <c r="G85" s="39"/>
      <c r="H85" s="39"/>
      <c r="I85" s="39"/>
      <c r="J85" s="39"/>
      <c r="K85" s="39"/>
      <c r="L85" s="39"/>
      <c r="M85" s="39"/>
      <c r="N85" s="39"/>
      <c r="O85" s="39"/>
      <c r="P85" s="39"/>
      <c r="Q85" s="39"/>
      <c r="R85" s="39"/>
      <c r="S85" s="39"/>
      <c r="T85" s="39"/>
      <c r="U85" s="39"/>
      <c r="V85" s="39"/>
      <c r="W85" s="39"/>
      <c r="X85" s="39"/>
      <c r="Y85" s="39"/>
      <c r="Z85" s="39"/>
    </row>
    <row r="86" spans="1:26" ht="15.75">
      <c r="A86" s="51" t="s">
        <v>160</v>
      </c>
      <c r="B86" s="54">
        <v>0</v>
      </c>
      <c r="C86" s="152"/>
      <c r="D86" s="152"/>
      <c r="E86" s="152"/>
      <c r="F86" s="39"/>
      <c r="G86" s="39"/>
      <c r="H86" s="39"/>
      <c r="I86" s="39"/>
      <c r="J86" s="39"/>
      <c r="K86" s="39"/>
      <c r="L86" s="39"/>
      <c r="M86" s="39"/>
      <c r="N86" s="39"/>
      <c r="O86" s="39"/>
      <c r="P86" s="39"/>
      <c r="Q86" s="39"/>
      <c r="R86" s="39"/>
      <c r="S86" s="39"/>
      <c r="T86" s="39"/>
      <c r="U86" s="39"/>
      <c r="V86" s="39"/>
      <c r="W86" s="39"/>
      <c r="X86" s="39"/>
      <c r="Y86" s="39"/>
      <c r="Z86" s="39"/>
    </row>
    <row r="87" spans="1:26" ht="15.75">
      <c r="A87" s="55" t="s">
        <v>81</v>
      </c>
      <c r="B87" s="45"/>
      <c r="C87" s="152"/>
      <c r="D87" s="152"/>
      <c r="E87" s="152"/>
      <c r="F87" s="39"/>
      <c r="G87" s="39"/>
      <c r="H87" s="39"/>
      <c r="I87" s="39"/>
      <c r="J87" s="39"/>
      <c r="K87" s="39"/>
      <c r="L87" s="39"/>
      <c r="M87" s="39"/>
      <c r="N87" s="39"/>
      <c r="O87" s="39"/>
      <c r="P87" s="39"/>
      <c r="Q87" s="39"/>
      <c r="R87" s="39"/>
      <c r="S87" s="39"/>
      <c r="T87" s="39"/>
      <c r="U87" s="39"/>
      <c r="V87" s="39"/>
      <c r="W87" s="39"/>
      <c r="X87" s="39"/>
      <c r="Y87" s="39"/>
      <c r="Z87" s="39"/>
    </row>
    <row r="88" spans="1:26" ht="31.5">
      <c r="A88" s="51" t="s">
        <v>161</v>
      </c>
      <c r="B88" s="46">
        <v>3</v>
      </c>
      <c r="C88" s="152"/>
      <c r="D88" s="152"/>
      <c r="E88" s="152"/>
      <c r="F88" s="39"/>
      <c r="G88" s="39"/>
      <c r="H88" s="39"/>
      <c r="I88" s="39"/>
      <c r="J88" s="39"/>
      <c r="K88" s="39"/>
      <c r="L88" s="39"/>
      <c r="M88" s="39"/>
      <c r="N88" s="39"/>
      <c r="O88" s="39"/>
      <c r="P88" s="39"/>
      <c r="Q88" s="39"/>
      <c r="R88" s="39"/>
      <c r="S88" s="39"/>
      <c r="T88" s="39"/>
      <c r="U88" s="39"/>
      <c r="V88" s="39"/>
      <c r="W88" s="39"/>
      <c r="X88" s="39"/>
      <c r="Y88" s="39"/>
      <c r="Z88" s="39"/>
    </row>
    <row r="89" spans="1:26" ht="15.75">
      <c r="A89" s="51" t="s">
        <v>162</v>
      </c>
      <c r="B89" s="54">
        <v>0</v>
      </c>
      <c r="C89" s="152"/>
      <c r="D89" s="152"/>
      <c r="E89" s="152"/>
      <c r="F89" s="39"/>
      <c r="G89" s="39"/>
      <c r="H89" s="39"/>
      <c r="I89" s="39"/>
      <c r="J89" s="39"/>
      <c r="K89" s="39"/>
      <c r="L89" s="39"/>
      <c r="M89" s="39"/>
      <c r="N89" s="39"/>
      <c r="O89" s="39"/>
      <c r="P89" s="39"/>
      <c r="Q89" s="39"/>
      <c r="R89" s="39"/>
      <c r="S89" s="39"/>
      <c r="T89" s="39"/>
      <c r="U89" s="39"/>
      <c r="V89" s="39"/>
      <c r="W89" s="39"/>
      <c r="X89" s="39"/>
      <c r="Y89" s="39"/>
      <c r="Z89" s="39"/>
    </row>
    <row r="90" spans="1:26" ht="15.75">
      <c r="A90" s="50" t="s">
        <v>163</v>
      </c>
      <c r="B90" s="45"/>
      <c r="C90" s="152"/>
      <c r="D90" s="152"/>
      <c r="E90" s="152"/>
      <c r="F90" s="39"/>
      <c r="G90" s="39"/>
      <c r="H90" s="39"/>
      <c r="I90" s="39"/>
      <c r="J90" s="39"/>
      <c r="K90" s="39"/>
      <c r="L90" s="39"/>
      <c r="M90" s="39"/>
      <c r="N90" s="39"/>
      <c r="O90" s="39"/>
      <c r="P90" s="39"/>
      <c r="Q90" s="39"/>
      <c r="R90" s="39"/>
      <c r="S90" s="39"/>
      <c r="T90" s="39"/>
      <c r="U90" s="39"/>
      <c r="V90" s="39"/>
      <c r="W90" s="39"/>
      <c r="X90" s="39"/>
      <c r="Y90" s="39"/>
      <c r="Z90" s="39"/>
    </row>
    <row r="91" spans="1:26" ht="15.75">
      <c r="A91" s="51" t="s">
        <v>70</v>
      </c>
      <c r="B91" s="46">
        <v>3</v>
      </c>
      <c r="C91" s="152"/>
      <c r="D91" s="152"/>
      <c r="E91" s="152"/>
      <c r="F91" s="39"/>
      <c r="G91" s="39"/>
      <c r="H91" s="39"/>
      <c r="I91" s="39"/>
      <c r="J91" s="39"/>
      <c r="K91" s="39"/>
      <c r="L91" s="39"/>
      <c r="M91" s="39"/>
      <c r="N91" s="39"/>
      <c r="O91" s="39"/>
      <c r="P91" s="39"/>
      <c r="Q91" s="39"/>
      <c r="R91" s="39"/>
      <c r="S91" s="39"/>
      <c r="T91" s="39"/>
      <c r="U91" s="39"/>
      <c r="V91" s="39"/>
      <c r="W91" s="39"/>
      <c r="X91" s="39"/>
      <c r="Y91" s="39"/>
      <c r="Z91" s="39"/>
    </row>
    <row r="92" spans="1:26" ht="15.75">
      <c r="A92" s="51" t="s">
        <v>71</v>
      </c>
      <c r="B92" s="54">
        <v>1</v>
      </c>
      <c r="C92" s="152"/>
      <c r="D92" s="152"/>
      <c r="E92" s="152"/>
      <c r="F92" s="39"/>
      <c r="G92" s="39"/>
      <c r="H92" s="39"/>
      <c r="I92" s="39"/>
      <c r="J92" s="39"/>
      <c r="K92" s="39"/>
      <c r="L92" s="39"/>
      <c r="M92" s="39"/>
      <c r="N92" s="39"/>
      <c r="O92" s="39"/>
      <c r="P92" s="39"/>
      <c r="Q92" s="39"/>
      <c r="R92" s="39"/>
      <c r="S92" s="39"/>
      <c r="T92" s="39"/>
      <c r="U92" s="39"/>
      <c r="V92" s="39"/>
      <c r="W92" s="39"/>
      <c r="X92" s="39"/>
      <c r="Y92" s="39"/>
      <c r="Z92" s="39"/>
    </row>
    <row r="93" spans="1:26" ht="15.75">
      <c r="A93" s="51" t="s">
        <v>72</v>
      </c>
      <c r="B93" s="54">
        <v>0</v>
      </c>
      <c r="C93" s="152"/>
      <c r="D93" s="152"/>
      <c r="E93" s="152"/>
      <c r="F93" s="39"/>
      <c r="G93" s="39"/>
      <c r="H93" s="39"/>
      <c r="I93" s="39"/>
      <c r="J93" s="39"/>
      <c r="K93" s="39"/>
      <c r="L93" s="39"/>
      <c r="M93" s="39"/>
      <c r="N93" s="39"/>
      <c r="O93" s="39"/>
      <c r="P93" s="39"/>
      <c r="Q93" s="39"/>
      <c r="R93" s="39"/>
      <c r="S93" s="39"/>
      <c r="T93" s="39"/>
      <c r="U93" s="39"/>
      <c r="V93" s="39"/>
      <c r="W93" s="39"/>
      <c r="X93" s="39"/>
      <c r="Y93" s="39"/>
      <c r="Z93" s="39"/>
    </row>
    <row r="94" spans="1:26" ht="36" customHeight="1">
      <c r="A94" s="55" t="s">
        <v>324</v>
      </c>
      <c r="B94" s="54"/>
      <c r="C94" s="67"/>
      <c r="D94" s="67"/>
      <c r="E94" s="67"/>
    </row>
    <row r="95" spans="1:26" ht="15.75" customHeight="1">
      <c r="A95" s="51" t="s">
        <v>165</v>
      </c>
      <c r="B95" s="46">
        <v>3</v>
      </c>
      <c r="C95" s="67"/>
      <c r="D95" s="67"/>
      <c r="E95" s="67"/>
    </row>
    <row r="96" spans="1:26" ht="15.75" customHeight="1">
      <c r="A96" s="51" t="s">
        <v>166</v>
      </c>
      <c r="B96" s="54">
        <v>1</v>
      </c>
      <c r="C96" s="67"/>
      <c r="D96" s="67"/>
      <c r="E96" s="67"/>
    </row>
    <row r="97" spans="1:5" ht="15.75" customHeight="1">
      <c r="A97" s="51" t="s">
        <v>167</v>
      </c>
      <c r="B97" s="54">
        <v>0</v>
      </c>
      <c r="C97" s="67"/>
      <c r="D97" s="67"/>
      <c r="E97" s="67"/>
    </row>
    <row r="98" spans="1:5" ht="15.75" customHeight="1">
      <c r="A98" s="55" t="s">
        <v>325</v>
      </c>
      <c r="B98" s="54"/>
      <c r="C98" s="67"/>
      <c r="D98" s="67"/>
      <c r="E98" s="67"/>
    </row>
    <row r="99" spans="1:5" ht="15.75" customHeight="1">
      <c r="A99" s="51" t="s">
        <v>169</v>
      </c>
      <c r="B99" s="46">
        <v>3</v>
      </c>
      <c r="C99" s="67"/>
      <c r="D99" s="67"/>
      <c r="E99" s="67"/>
    </row>
    <row r="100" spans="1:5" ht="15.75" customHeight="1">
      <c r="A100" s="51" t="s">
        <v>170</v>
      </c>
      <c r="B100" s="54">
        <v>1</v>
      </c>
      <c r="C100" s="67"/>
      <c r="D100" s="67"/>
      <c r="E100" s="67"/>
    </row>
    <row r="101" spans="1:5" ht="15.75" customHeight="1">
      <c r="A101" s="51" t="s">
        <v>171</v>
      </c>
      <c r="B101" s="54">
        <v>0</v>
      </c>
      <c r="C101" s="67"/>
      <c r="D101" s="67"/>
      <c r="E101" s="67"/>
    </row>
    <row r="102" spans="1:5" ht="34.5" customHeight="1">
      <c r="A102" s="55" t="s">
        <v>172</v>
      </c>
      <c r="B102" s="54"/>
      <c r="C102" s="67"/>
      <c r="D102" s="67"/>
      <c r="E102" s="67"/>
    </row>
    <row r="103" spans="1:5" ht="40.5" customHeight="1">
      <c r="A103" s="55" t="s">
        <v>326</v>
      </c>
      <c r="B103" s="46">
        <v>5</v>
      </c>
      <c r="C103" s="67"/>
      <c r="D103" s="67"/>
      <c r="E103" s="67"/>
    </row>
    <row r="104" spans="1:5" ht="38.25" customHeight="1">
      <c r="A104" s="51" t="s">
        <v>174</v>
      </c>
      <c r="B104" s="54">
        <v>3</v>
      </c>
      <c r="C104" s="67"/>
      <c r="D104" s="67"/>
      <c r="E104" s="67"/>
    </row>
    <row r="105" spans="1:5" ht="33.75" customHeight="1">
      <c r="A105" s="51" t="s">
        <v>175</v>
      </c>
      <c r="B105" s="54">
        <v>0</v>
      </c>
      <c r="C105" s="67"/>
      <c r="D105" s="67"/>
      <c r="E105" s="67"/>
    </row>
    <row r="106" spans="1:5" ht="25.5" customHeight="1">
      <c r="A106" s="51" t="s">
        <v>176</v>
      </c>
      <c r="B106" s="54">
        <v>-5</v>
      </c>
      <c r="C106" s="67"/>
      <c r="D106" s="67"/>
      <c r="E106" s="67"/>
    </row>
    <row r="107" spans="1:5" ht="15.75" customHeight="1">
      <c r="A107" s="55" t="s">
        <v>177</v>
      </c>
      <c r="B107" s="54"/>
      <c r="C107" s="67"/>
      <c r="D107" s="67"/>
      <c r="E107" s="67"/>
    </row>
    <row r="108" spans="1:5" ht="21.75" customHeight="1">
      <c r="A108" s="51" t="s">
        <v>178</v>
      </c>
      <c r="B108" s="46">
        <v>2</v>
      </c>
      <c r="C108" s="67"/>
      <c r="D108" s="67"/>
      <c r="E108" s="67"/>
    </row>
    <row r="109" spans="1:5" ht="21.75" customHeight="1">
      <c r="A109" s="51" t="s">
        <v>179</v>
      </c>
      <c r="B109" s="54">
        <v>0</v>
      </c>
      <c r="C109" s="67"/>
      <c r="D109" s="67"/>
      <c r="E109" s="67"/>
    </row>
    <row r="110" spans="1:5" ht="15.75" customHeight="1">
      <c r="A110" s="55" t="s">
        <v>180</v>
      </c>
      <c r="B110" s="45"/>
      <c r="C110" s="67"/>
      <c r="D110" s="67"/>
      <c r="E110" s="67"/>
    </row>
    <row r="111" spans="1:5" ht="15.75" customHeight="1">
      <c r="A111" s="51" t="s">
        <v>181</v>
      </c>
      <c r="B111" s="46">
        <v>6</v>
      </c>
      <c r="C111" s="67"/>
      <c r="D111" s="67"/>
      <c r="E111" s="67"/>
    </row>
    <row r="112" spans="1:5" ht="15.75" customHeight="1">
      <c r="A112" s="51" t="s">
        <v>87</v>
      </c>
      <c r="B112" s="54">
        <v>3</v>
      </c>
      <c r="C112" s="67"/>
      <c r="D112" s="67"/>
      <c r="E112" s="67"/>
    </row>
    <row r="113" spans="1:26" ht="15.75" customHeight="1">
      <c r="A113" s="51" t="s">
        <v>88</v>
      </c>
      <c r="B113" s="54">
        <v>0</v>
      </c>
      <c r="C113" s="67"/>
      <c r="D113" s="67"/>
      <c r="E113" s="67"/>
    </row>
    <row r="114" spans="1:26" ht="15.75" customHeight="1">
      <c r="A114" s="64" t="s">
        <v>182</v>
      </c>
      <c r="B114" s="166"/>
      <c r="C114" s="67"/>
      <c r="D114" s="67"/>
      <c r="E114" s="67"/>
    </row>
    <row r="115" spans="1:26" ht="15.75" customHeight="1">
      <c r="A115" s="65" t="s">
        <v>183</v>
      </c>
      <c r="B115" s="166">
        <v>7</v>
      </c>
      <c r="C115" s="67"/>
      <c r="D115" s="67"/>
      <c r="E115" s="67"/>
    </row>
    <row r="116" spans="1:26" ht="15.75" customHeight="1">
      <c r="A116" s="65" t="s">
        <v>184</v>
      </c>
      <c r="B116" s="166">
        <v>5</v>
      </c>
      <c r="C116" s="67"/>
      <c r="D116" s="67"/>
      <c r="E116" s="67"/>
    </row>
    <row r="117" spans="1:26" ht="15.75" customHeight="1">
      <c r="A117" s="65" t="s">
        <v>185</v>
      </c>
      <c r="B117" s="166">
        <v>0</v>
      </c>
      <c r="C117" s="67"/>
      <c r="D117" s="67"/>
      <c r="E117" s="67"/>
    </row>
    <row r="118" spans="1:26" ht="15.75" customHeight="1">
      <c r="A118" s="167"/>
      <c r="B118" s="168"/>
      <c r="C118" s="169"/>
      <c r="D118" s="169"/>
      <c r="E118" s="169"/>
    </row>
    <row r="119" spans="1:26" ht="15.75" customHeight="1">
      <c r="A119" s="170" t="s">
        <v>89</v>
      </c>
      <c r="B119" s="170">
        <f>SUM(B77,B60,B50,B12)</f>
        <v>100</v>
      </c>
      <c r="C119" s="69"/>
      <c r="D119" s="69"/>
      <c r="E119" s="6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ustomHeight="1">
      <c r="A120" s="70"/>
      <c r="B120" s="71"/>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ustomHeight="1">
      <c r="A121" s="72"/>
      <c r="B121" s="73"/>
      <c r="C121" s="74">
        <f t="shared" ref="C121:E121" si="0">SUM(C24:C120)</f>
        <v>0</v>
      </c>
      <c r="D121" s="74">
        <f t="shared" si="0"/>
        <v>0</v>
      </c>
      <c r="E121" s="74">
        <f t="shared" si="0"/>
        <v>0</v>
      </c>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ustomHeight="1">
      <c r="A122" s="272" t="s">
        <v>186</v>
      </c>
      <c r="B122" s="263"/>
      <c r="C122" s="263"/>
      <c r="D122" s="263"/>
      <c r="E122" s="264"/>
      <c r="F122" s="75"/>
      <c r="G122" s="75"/>
      <c r="H122" s="39"/>
      <c r="I122" s="39"/>
      <c r="J122" s="39"/>
      <c r="K122" s="39"/>
      <c r="L122" s="39"/>
      <c r="M122" s="39"/>
      <c r="N122" s="39"/>
      <c r="O122" s="39"/>
      <c r="P122" s="39"/>
      <c r="Q122" s="39"/>
      <c r="R122" s="39"/>
      <c r="S122" s="39"/>
      <c r="T122" s="39"/>
      <c r="U122" s="39"/>
      <c r="V122" s="39"/>
      <c r="W122" s="39"/>
      <c r="X122" s="39"/>
      <c r="Y122" s="39"/>
      <c r="Z122" s="39"/>
    </row>
    <row r="123" spans="1:26" ht="15.75">
      <c r="A123" s="40"/>
      <c r="B123" s="39"/>
      <c r="C123" s="39"/>
      <c r="D123" s="39"/>
      <c r="E123" s="40"/>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 r="A124" s="76" t="s">
        <v>327</v>
      </c>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 r="A125" s="76"/>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 r="A126" s="77" t="s">
        <v>328</v>
      </c>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ht="15.75">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ht="15.75">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ht="15.75">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ht="15.75">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ht="15.75">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ht="15.7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ht="15.75">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ht="15.75">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ht="15.75">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ht="15.75">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ht="15.75">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ht="15.75">
      <c r="A1001" s="3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ht="15.75">
      <c r="A1002" s="3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ht="15.75">
      <c r="A1003" s="39"/>
      <c r="B1003" s="39"/>
      <c r="C1003" s="39"/>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ht="15.75">
      <c r="A1004" s="39"/>
      <c r="B1004" s="39"/>
      <c r="C1004" s="39"/>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sheetData>
  <mergeCells count="6">
    <mergeCell ref="A122:E122"/>
    <mergeCell ref="A2:E2"/>
    <mergeCell ref="A3:E3"/>
    <mergeCell ref="A4:E4"/>
    <mergeCell ref="A10:A11"/>
    <mergeCell ref="C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89"/>
  <sheetViews>
    <sheetView workbookViewId="0"/>
  </sheetViews>
  <sheetFormatPr defaultColWidth="11.25" defaultRowHeight="15" customHeight="1"/>
  <cols>
    <col min="1" max="1" width="74.5" customWidth="1"/>
  </cols>
  <sheetData>
    <row r="1" spans="1:26" ht="15.75">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spans="1:26" ht="15.75">
      <c r="A2" s="255"/>
      <c r="B2" s="247"/>
      <c r="C2" s="247"/>
      <c r="D2" s="247"/>
      <c r="E2" s="247"/>
      <c r="F2" s="39"/>
      <c r="G2" s="39"/>
      <c r="H2" s="39"/>
      <c r="I2" s="39"/>
      <c r="J2" s="39"/>
      <c r="K2" s="39"/>
      <c r="L2" s="39"/>
      <c r="M2" s="39"/>
      <c r="N2" s="39"/>
      <c r="O2" s="39"/>
      <c r="P2" s="39"/>
      <c r="Q2" s="39"/>
      <c r="R2" s="39"/>
      <c r="S2" s="39"/>
      <c r="T2" s="39"/>
      <c r="U2" s="39"/>
      <c r="V2" s="39"/>
      <c r="W2" s="39"/>
      <c r="X2" s="39"/>
      <c r="Y2" s="39"/>
      <c r="Z2" s="39"/>
    </row>
    <row r="3" spans="1:26" ht="18.75">
      <c r="A3" s="256" t="s">
        <v>95</v>
      </c>
      <c r="B3" s="247"/>
      <c r="C3" s="247"/>
      <c r="D3" s="247"/>
      <c r="E3" s="247"/>
      <c r="F3" s="39"/>
      <c r="G3" s="39"/>
      <c r="H3" s="39"/>
      <c r="I3" s="39"/>
      <c r="J3" s="39"/>
      <c r="K3" s="39"/>
      <c r="L3" s="39"/>
      <c r="M3" s="39"/>
      <c r="N3" s="39"/>
      <c r="O3" s="39"/>
      <c r="P3" s="39"/>
      <c r="Q3" s="39"/>
      <c r="R3" s="39"/>
      <c r="S3" s="39"/>
      <c r="T3" s="39"/>
      <c r="U3" s="39"/>
      <c r="V3" s="39"/>
      <c r="W3" s="39"/>
      <c r="X3" s="39"/>
      <c r="Y3" s="39"/>
      <c r="Z3" s="39"/>
    </row>
    <row r="4" spans="1:26" ht="18.75">
      <c r="A4" s="256" t="s">
        <v>96</v>
      </c>
      <c r="B4" s="247"/>
      <c r="C4" s="247"/>
      <c r="D4" s="247"/>
      <c r="E4" s="247"/>
      <c r="F4" s="39"/>
      <c r="G4" s="39"/>
      <c r="H4" s="39"/>
      <c r="I4" s="39"/>
      <c r="J4" s="39"/>
      <c r="K4" s="39"/>
      <c r="L4" s="39"/>
      <c r="M4" s="39"/>
      <c r="N4" s="39"/>
      <c r="O4" s="39"/>
      <c r="P4" s="39"/>
      <c r="Q4" s="39"/>
      <c r="R4" s="39"/>
      <c r="S4" s="39"/>
      <c r="T4" s="39"/>
      <c r="U4" s="39"/>
      <c r="V4" s="39"/>
      <c r="W4" s="39"/>
      <c r="X4" s="39"/>
      <c r="Y4" s="39"/>
      <c r="Z4" s="39"/>
    </row>
    <row r="5" spans="1:26" ht="15.75">
      <c r="A5" s="40"/>
      <c r="B5" s="39"/>
      <c r="C5" s="39"/>
      <c r="D5" s="39"/>
      <c r="E5" s="39"/>
      <c r="F5" s="39"/>
      <c r="G5" s="39"/>
      <c r="H5" s="39"/>
      <c r="I5" s="39"/>
      <c r="J5" s="39"/>
      <c r="K5" s="39"/>
      <c r="L5" s="39"/>
      <c r="M5" s="39"/>
      <c r="N5" s="39"/>
      <c r="O5" s="39"/>
      <c r="P5" s="39"/>
      <c r="Q5" s="39"/>
      <c r="R5" s="39"/>
      <c r="S5" s="39"/>
      <c r="T5" s="39"/>
      <c r="U5" s="39"/>
      <c r="V5" s="39"/>
      <c r="W5" s="39"/>
      <c r="X5" s="39"/>
      <c r="Y5" s="39"/>
      <c r="Z5" s="39"/>
    </row>
    <row r="6" spans="1:26" ht="15.75">
      <c r="A6" s="76" t="s">
        <v>3</v>
      </c>
      <c r="B6" s="39"/>
      <c r="C6" s="39"/>
      <c r="D6" s="39"/>
      <c r="E6" s="39"/>
      <c r="F6" s="39"/>
      <c r="G6" s="39"/>
      <c r="H6" s="39"/>
      <c r="I6" s="39"/>
      <c r="J6" s="39"/>
      <c r="K6" s="39"/>
      <c r="L6" s="39"/>
      <c r="M6" s="39"/>
      <c r="N6" s="39"/>
      <c r="O6" s="39"/>
      <c r="P6" s="39"/>
      <c r="Q6" s="39"/>
      <c r="R6" s="39"/>
      <c r="S6" s="39"/>
      <c r="T6" s="39"/>
      <c r="U6" s="39"/>
      <c r="V6" s="39"/>
      <c r="W6" s="39"/>
      <c r="X6" s="39"/>
      <c r="Y6" s="39"/>
      <c r="Z6" s="39"/>
    </row>
    <row r="7" spans="1:26" ht="15.75">
      <c r="A7" s="76" t="s">
        <v>4</v>
      </c>
      <c r="B7" s="39"/>
      <c r="C7" s="39"/>
      <c r="D7" s="39"/>
      <c r="E7" s="39"/>
      <c r="F7" s="39"/>
      <c r="G7" s="39"/>
      <c r="H7" s="39"/>
      <c r="I7" s="39"/>
      <c r="J7" s="39"/>
      <c r="K7" s="39"/>
      <c r="L7" s="39"/>
      <c r="M7" s="39"/>
      <c r="N7" s="39"/>
      <c r="O7" s="39"/>
      <c r="P7" s="39"/>
      <c r="Q7" s="39"/>
      <c r="R7" s="39"/>
      <c r="S7" s="39"/>
      <c r="T7" s="39"/>
      <c r="U7" s="39"/>
      <c r="V7" s="39"/>
      <c r="W7" s="39"/>
      <c r="X7" s="39"/>
      <c r="Y7" s="39"/>
      <c r="Z7" s="39"/>
    </row>
    <row r="8" spans="1:26" ht="15.75">
      <c r="A8" s="76" t="s">
        <v>97</v>
      </c>
      <c r="B8" s="39"/>
      <c r="C8" s="39"/>
      <c r="D8" s="39"/>
      <c r="E8" s="39"/>
      <c r="F8" s="39"/>
      <c r="G8" s="39"/>
      <c r="H8" s="39"/>
      <c r="I8" s="39"/>
      <c r="J8" s="39"/>
      <c r="K8" s="39"/>
      <c r="L8" s="39"/>
      <c r="M8" s="39"/>
      <c r="N8" s="39"/>
      <c r="O8" s="39"/>
      <c r="P8" s="39"/>
      <c r="Q8" s="39"/>
      <c r="R8" s="39"/>
      <c r="S8" s="39"/>
      <c r="T8" s="39"/>
      <c r="U8" s="39"/>
      <c r="V8" s="39"/>
      <c r="W8" s="39"/>
      <c r="X8" s="39"/>
      <c r="Y8" s="39"/>
      <c r="Z8" s="39"/>
    </row>
    <row r="9" spans="1:26" ht="15.75">
      <c r="A9" s="150" t="s">
        <v>6</v>
      </c>
      <c r="B9" s="73"/>
      <c r="C9" s="73"/>
      <c r="D9" s="73"/>
      <c r="E9" s="73"/>
      <c r="F9" s="39"/>
      <c r="G9" s="39"/>
      <c r="H9" s="39"/>
      <c r="I9" s="39"/>
      <c r="J9" s="39"/>
      <c r="K9" s="39"/>
      <c r="L9" s="39"/>
      <c r="M9" s="39"/>
      <c r="N9" s="39"/>
      <c r="O9" s="39"/>
      <c r="P9" s="39"/>
      <c r="Q9" s="39"/>
      <c r="R9" s="39"/>
      <c r="S9" s="39"/>
      <c r="T9" s="39"/>
      <c r="U9" s="39"/>
      <c r="V9" s="39"/>
      <c r="W9" s="39"/>
      <c r="X9" s="39"/>
      <c r="Y9" s="39"/>
      <c r="Z9" s="39"/>
    </row>
    <row r="10" spans="1:26" ht="15.75">
      <c r="A10" s="270" t="s">
        <v>7</v>
      </c>
      <c r="B10" s="171"/>
      <c r="C10" s="271" t="s">
        <v>8</v>
      </c>
      <c r="D10" s="263"/>
      <c r="E10" s="264"/>
      <c r="F10" s="39"/>
      <c r="G10" s="39"/>
      <c r="H10" s="39"/>
      <c r="I10" s="39"/>
      <c r="J10" s="39"/>
      <c r="K10" s="39"/>
      <c r="L10" s="39"/>
      <c r="M10" s="39"/>
      <c r="N10" s="39"/>
      <c r="O10" s="39"/>
      <c r="P10" s="39"/>
      <c r="Q10" s="39"/>
      <c r="R10" s="39"/>
      <c r="S10" s="39"/>
      <c r="T10" s="39"/>
      <c r="U10" s="39"/>
      <c r="V10" s="39"/>
      <c r="W10" s="39"/>
      <c r="X10" s="39"/>
      <c r="Y10" s="39"/>
      <c r="Z10" s="39"/>
    </row>
    <row r="11" spans="1:26" ht="31.5">
      <c r="A11" s="258"/>
      <c r="B11" s="153" t="s">
        <v>9</v>
      </c>
      <c r="C11" s="153" t="s">
        <v>10</v>
      </c>
      <c r="D11" s="153" t="s">
        <v>11</v>
      </c>
      <c r="E11" s="153" t="s">
        <v>12</v>
      </c>
      <c r="F11" s="39"/>
      <c r="G11" s="39"/>
      <c r="H11" s="39"/>
      <c r="I11" s="39"/>
      <c r="J11" s="39"/>
      <c r="K11" s="39"/>
      <c r="L11" s="39"/>
      <c r="M11" s="39"/>
      <c r="N11" s="39"/>
      <c r="O11" s="39"/>
      <c r="P11" s="39"/>
      <c r="Q11" s="39"/>
      <c r="R11" s="39"/>
      <c r="S11" s="39"/>
      <c r="T11" s="39"/>
      <c r="U11" s="39"/>
      <c r="V11" s="39"/>
      <c r="W11" s="39"/>
      <c r="X11" s="39"/>
      <c r="Y11" s="39"/>
      <c r="Z11" s="39"/>
    </row>
    <row r="12" spans="1:26" ht="15.75">
      <c r="A12" s="154" t="s">
        <v>329</v>
      </c>
      <c r="B12" s="155">
        <f>SUM(B14,B20,B26,B31,B35,B40,B44,B47)</f>
        <v>35</v>
      </c>
      <c r="C12" s="172"/>
      <c r="D12" s="172"/>
      <c r="E12" s="172"/>
      <c r="F12" s="39"/>
      <c r="G12" s="39"/>
      <c r="H12" s="39"/>
      <c r="I12" s="39"/>
      <c r="J12" s="39"/>
      <c r="K12" s="39"/>
      <c r="L12" s="39"/>
      <c r="M12" s="39"/>
      <c r="N12" s="39"/>
      <c r="O12" s="39"/>
      <c r="P12" s="39"/>
      <c r="Q12" s="39"/>
      <c r="R12" s="39"/>
      <c r="S12" s="39"/>
      <c r="T12" s="39"/>
      <c r="U12" s="39"/>
      <c r="V12" s="39"/>
      <c r="W12" s="39"/>
      <c r="X12" s="39"/>
      <c r="Y12" s="39"/>
      <c r="Z12" s="39"/>
    </row>
    <row r="13" spans="1:26" ht="31.5">
      <c r="A13" s="157" t="s">
        <v>330</v>
      </c>
      <c r="B13" s="69"/>
      <c r="C13" s="171"/>
      <c r="D13" s="171"/>
      <c r="E13" s="171"/>
      <c r="F13" s="39"/>
      <c r="G13" s="39"/>
      <c r="H13" s="39"/>
      <c r="I13" s="39"/>
      <c r="J13" s="39"/>
      <c r="K13" s="39"/>
      <c r="L13" s="39"/>
      <c r="M13" s="39"/>
      <c r="N13" s="39"/>
      <c r="O13" s="39"/>
      <c r="P13" s="39"/>
      <c r="Q13" s="39"/>
      <c r="R13" s="39"/>
      <c r="S13" s="39"/>
      <c r="T13" s="39"/>
      <c r="U13" s="39"/>
      <c r="V13" s="39"/>
      <c r="W13" s="39"/>
      <c r="X13" s="39"/>
      <c r="Y13" s="39"/>
      <c r="Z13" s="39"/>
    </row>
    <row r="14" spans="1:26" ht="15.75">
      <c r="A14" s="17" t="s">
        <v>14</v>
      </c>
      <c r="B14" s="67">
        <v>7</v>
      </c>
      <c r="C14" s="171"/>
      <c r="D14" s="171"/>
      <c r="E14" s="171"/>
      <c r="F14" s="39"/>
      <c r="G14" s="39"/>
      <c r="H14" s="39"/>
      <c r="I14" s="39"/>
      <c r="J14" s="39"/>
      <c r="K14" s="39"/>
      <c r="L14" s="39"/>
      <c r="M14" s="39"/>
      <c r="N14" s="39"/>
      <c r="O14" s="39"/>
      <c r="P14" s="39"/>
      <c r="Q14" s="39"/>
      <c r="R14" s="39"/>
      <c r="S14" s="39"/>
      <c r="T14" s="39"/>
      <c r="U14" s="39"/>
      <c r="V14" s="39"/>
      <c r="W14" s="39"/>
      <c r="X14" s="39"/>
      <c r="Y14" s="39"/>
      <c r="Z14" s="39"/>
    </row>
    <row r="15" spans="1:26" ht="15.75">
      <c r="A15" s="51" t="s">
        <v>303</v>
      </c>
      <c r="B15" s="66">
        <v>3</v>
      </c>
      <c r="C15" s="171"/>
      <c r="D15" s="171"/>
      <c r="E15" s="171"/>
      <c r="F15" s="39"/>
      <c r="G15" s="39"/>
      <c r="H15" s="39"/>
      <c r="I15" s="39"/>
      <c r="J15" s="39"/>
      <c r="K15" s="39"/>
      <c r="L15" s="39"/>
      <c r="M15" s="39"/>
      <c r="N15" s="39"/>
      <c r="O15" s="39"/>
      <c r="P15" s="39"/>
      <c r="Q15" s="39"/>
      <c r="R15" s="39"/>
      <c r="S15" s="39"/>
      <c r="T15" s="39"/>
      <c r="U15" s="39"/>
      <c r="V15" s="39"/>
      <c r="W15" s="39"/>
      <c r="X15" s="39"/>
      <c r="Y15" s="39"/>
      <c r="Z15" s="39"/>
    </row>
    <row r="16" spans="1:26" ht="15.75">
      <c r="A16" s="51" t="s">
        <v>304</v>
      </c>
      <c r="B16" s="66">
        <v>2</v>
      </c>
      <c r="C16" s="171"/>
      <c r="D16" s="171"/>
      <c r="E16" s="171"/>
      <c r="F16" s="39"/>
      <c r="G16" s="39"/>
      <c r="H16" s="39"/>
      <c r="I16" s="39"/>
      <c r="J16" s="39"/>
      <c r="K16" s="39"/>
      <c r="L16" s="39"/>
      <c r="M16" s="39"/>
      <c r="N16" s="39"/>
      <c r="O16" s="39"/>
      <c r="P16" s="39"/>
      <c r="Q16" s="39"/>
      <c r="R16" s="39"/>
      <c r="S16" s="39"/>
      <c r="T16" s="39"/>
      <c r="U16" s="39"/>
      <c r="V16" s="39"/>
      <c r="W16" s="39"/>
      <c r="X16" s="39"/>
      <c r="Y16" s="39"/>
      <c r="Z16" s="39"/>
    </row>
    <row r="17" spans="1:26" ht="15.75">
      <c r="A17" s="51" t="s">
        <v>305</v>
      </c>
      <c r="B17" s="66">
        <v>0</v>
      </c>
      <c r="C17" s="171"/>
      <c r="D17" s="171"/>
      <c r="E17" s="171"/>
      <c r="F17" s="39"/>
      <c r="G17" s="39"/>
      <c r="H17" s="39"/>
      <c r="I17" s="39"/>
      <c r="J17" s="39"/>
      <c r="K17" s="39"/>
      <c r="L17" s="39"/>
      <c r="M17" s="39"/>
      <c r="N17" s="39"/>
      <c r="O17" s="39"/>
      <c r="P17" s="39"/>
      <c r="Q17" s="39"/>
      <c r="R17" s="39"/>
      <c r="S17" s="39"/>
      <c r="T17" s="39"/>
      <c r="U17" s="39"/>
      <c r="V17" s="39"/>
      <c r="W17" s="39"/>
      <c r="X17" s="39"/>
      <c r="Y17" s="39"/>
      <c r="Z17" s="39"/>
    </row>
    <row r="18" spans="1:26" ht="15.75">
      <c r="A18" s="51" t="s">
        <v>103</v>
      </c>
      <c r="B18" s="66">
        <v>-5</v>
      </c>
      <c r="C18" s="171"/>
      <c r="D18" s="171"/>
      <c r="E18" s="171"/>
      <c r="F18" s="39"/>
      <c r="G18" s="39"/>
      <c r="H18" s="39"/>
      <c r="I18" s="39"/>
      <c r="J18" s="39"/>
      <c r="K18" s="39"/>
      <c r="L18" s="39"/>
      <c r="M18" s="39"/>
      <c r="N18" s="39"/>
      <c r="O18" s="39"/>
      <c r="P18" s="39"/>
      <c r="Q18" s="39"/>
      <c r="R18" s="39"/>
      <c r="S18" s="39"/>
      <c r="T18" s="39"/>
      <c r="U18" s="39"/>
      <c r="V18" s="39"/>
      <c r="W18" s="39"/>
      <c r="X18" s="39"/>
      <c r="Y18" s="39"/>
      <c r="Z18" s="39"/>
    </row>
    <row r="19" spans="1:26" ht="63">
      <c r="A19" s="157" t="s">
        <v>331</v>
      </c>
      <c r="B19" s="69"/>
      <c r="C19" s="171"/>
      <c r="D19" s="171"/>
      <c r="E19" s="171"/>
      <c r="F19" s="39"/>
      <c r="G19" s="39"/>
      <c r="H19" s="39"/>
      <c r="I19" s="39"/>
      <c r="J19" s="39"/>
      <c r="K19" s="39"/>
      <c r="L19" s="39"/>
      <c r="M19" s="39"/>
      <c r="N19" s="39"/>
      <c r="O19" s="39"/>
      <c r="P19" s="39"/>
      <c r="Q19" s="39"/>
      <c r="R19" s="39"/>
      <c r="S19" s="39"/>
      <c r="T19" s="39"/>
      <c r="U19" s="39"/>
      <c r="V19" s="39"/>
      <c r="W19" s="39"/>
      <c r="X19" s="39"/>
      <c r="Y19" s="39"/>
      <c r="Z19" s="39"/>
    </row>
    <row r="20" spans="1:26" ht="15.75">
      <c r="A20" s="17" t="s">
        <v>20</v>
      </c>
      <c r="B20" s="67">
        <v>5</v>
      </c>
      <c r="C20" s="171"/>
      <c r="D20" s="171"/>
      <c r="E20" s="171"/>
      <c r="F20" s="39"/>
      <c r="G20" s="39"/>
      <c r="H20" s="39"/>
      <c r="I20" s="39"/>
      <c r="J20" s="39"/>
      <c r="K20" s="39"/>
      <c r="L20" s="39"/>
      <c r="M20" s="39"/>
      <c r="N20" s="39"/>
      <c r="O20" s="39"/>
      <c r="P20" s="39"/>
      <c r="Q20" s="39"/>
      <c r="R20" s="39"/>
      <c r="S20" s="39"/>
      <c r="T20" s="39"/>
      <c r="U20" s="39"/>
      <c r="V20" s="39"/>
      <c r="W20" s="39"/>
      <c r="X20" s="39"/>
      <c r="Y20" s="39"/>
      <c r="Z20" s="39"/>
    </row>
    <row r="21" spans="1:26" ht="15.75">
      <c r="A21" s="17" t="s">
        <v>105</v>
      </c>
      <c r="B21" s="66">
        <v>2</v>
      </c>
      <c r="C21" s="171"/>
      <c r="D21" s="171"/>
      <c r="E21" s="171"/>
      <c r="F21" s="39"/>
      <c r="G21" s="39"/>
      <c r="H21" s="39"/>
      <c r="I21" s="39"/>
      <c r="J21" s="39"/>
      <c r="K21" s="39"/>
      <c r="L21" s="39"/>
      <c r="M21" s="39"/>
      <c r="N21" s="39"/>
      <c r="O21" s="39"/>
      <c r="P21" s="39"/>
      <c r="Q21" s="39"/>
      <c r="R21" s="39"/>
      <c r="S21" s="39"/>
      <c r="T21" s="39"/>
      <c r="U21" s="39"/>
      <c r="V21" s="39"/>
      <c r="W21" s="39"/>
      <c r="X21" s="39"/>
      <c r="Y21" s="39"/>
      <c r="Z21" s="39"/>
    </row>
    <row r="22" spans="1:26" ht="15.75">
      <c r="A22" s="17" t="s">
        <v>106</v>
      </c>
      <c r="B22" s="66">
        <v>1</v>
      </c>
      <c r="C22" s="171"/>
      <c r="D22" s="171"/>
      <c r="E22" s="171"/>
      <c r="F22" s="39"/>
      <c r="G22" s="39"/>
      <c r="H22" s="39"/>
      <c r="I22" s="39"/>
      <c r="J22" s="39"/>
      <c r="K22" s="39"/>
      <c r="L22" s="39"/>
      <c r="M22" s="39"/>
      <c r="N22" s="39"/>
      <c r="O22" s="39"/>
      <c r="P22" s="39"/>
      <c r="Q22" s="39"/>
      <c r="R22" s="39"/>
      <c r="S22" s="39"/>
      <c r="T22" s="39"/>
      <c r="U22" s="39"/>
      <c r="V22" s="39"/>
      <c r="W22" s="39"/>
      <c r="X22" s="39"/>
      <c r="Y22" s="39"/>
      <c r="Z22" s="39"/>
    </row>
    <row r="23" spans="1:26" ht="15.75">
      <c r="A23" s="17" t="s">
        <v>107</v>
      </c>
      <c r="B23" s="66">
        <v>0</v>
      </c>
      <c r="C23" s="171"/>
      <c r="D23" s="171"/>
      <c r="E23" s="171"/>
      <c r="F23" s="39"/>
      <c r="G23" s="39"/>
      <c r="H23" s="39"/>
      <c r="I23" s="39"/>
      <c r="J23" s="39"/>
      <c r="K23" s="39"/>
      <c r="L23" s="39"/>
      <c r="M23" s="39"/>
      <c r="N23" s="39"/>
      <c r="O23" s="39"/>
      <c r="P23" s="39"/>
      <c r="Q23" s="39"/>
      <c r="R23" s="39"/>
      <c r="S23" s="39"/>
      <c r="T23" s="39"/>
      <c r="U23" s="39"/>
      <c r="V23" s="39"/>
      <c r="W23" s="39"/>
      <c r="X23" s="39"/>
      <c r="Y23" s="39"/>
      <c r="Z23" s="39"/>
    </row>
    <row r="24" spans="1:26" ht="15.75">
      <c r="A24" s="17" t="s">
        <v>108</v>
      </c>
      <c r="B24" s="66">
        <v>-5</v>
      </c>
      <c r="C24" s="171"/>
      <c r="D24" s="171"/>
      <c r="E24" s="171"/>
      <c r="F24" s="39"/>
      <c r="G24" s="39"/>
      <c r="H24" s="39"/>
      <c r="I24" s="39"/>
      <c r="J24" s="39"/>
      <c r="K24" s="39"/>
      <c r="L24" s="39"/>
      <c r="M24" s="39"/>
      <c r="N24" s="39"/>
      <c r="O24" s="39"/>
      <c r="P24" s="39"/>
      <c r="Q24" s="39"/>
      <c r="R24" s="39"/>
      <c r="S24" s="39"/>
      <c r="T24" s="39"/>
      <c r="U24" s="39"/>
      <c r="V24" s="39"/>
      <c r="W24" s="39"/>
      <c r="X24" s="39"/>
      <c r="Y24" s="39"/>
      <c r="Z24" s="39"/>
    </row>
    <row r="25" spans="1:26" ht="15.75">
      <c r="A25" s="158" t="s">
        <v>109</v>
      </c>
      <c r="B25" s="69"/>
      <c r="C25" s="171"/>
      <c r="D25" s="171"/>
      <c r="E25" s="171"/>
      <c r="F25" s="39"/>
      <c r="G25" s="39"/>
      <c r="H25" s="39"/>
      <c r="I25" s="39"/>
      <c r="J25" s="39"/>
      <c r="K25" s="39"/>
      <c r="L25" s="39"/>
      <c r="M25" s="39"/>
      <c r="N25" s="39"/>
      <c r="O25" s="39"/>
      <c r="P25" s="39"/>
      <c r="Q25" s="39"/>
      <c r="R25" s="39"/>
      <c r="S25" s="39"/>
      <c r="T25" s="39"/>
      <c r="U25" s="39"/>
      <c r="V25" s="39"/>
      <c r="W25" s="39"/>
      <c r="X25" s="39"/>
      <c r="Y25" s="39"/>
      <c r="Z25" s="39"/>
    </row>
    <row r="26" spans="1:26" ht="15.75">
      <c r="A26" s="17" t="s">
        <v>35</v>
      </c>
      <c r="B26" s="67">
        <v>3</v>
      </c>
      <c r="C26" s="171"/>
      <c r="D26" s="171"/>
      <c r="E26" s="171"/>
      <c r="F26" s="39"/>
      <c r="G26" s="39"/>
      <c r="H26" s="39"/>
      <c r="I26" s="39"/>
      <c r="J26" s="39"/>
      <c r="K26" s="39"/>
      <c r="L26" s="39"/>
      <c r="M26" s="39"/>
      <c r="N26" s="39"/>
      <c r="O26" s="39"/>
      <c r="P26" s="39"/>
      <c r="Q26" s="39"/>
      <c r="R26" s="39"/>
      <c r="S26" s="39"/>
      <c r="T26" s="39"/>
      <c r="U26" s="39"/>
      <c r="V26" s="39"/>
      <c r="W26" s="39"/>
      <c r="X26" s="39"/>
      <c r="Y26" s="39"/>
      <c r="Z26" s="39"/>
    </row>
    <row r="27" spans="1:26" ht="15.75">
      <c r="A27" s="17" t="s">
        <v>110</v>
      </c>
      <c r="B27" s="66">
        <v>2</v>
      </c>
      <c r="C27" s="171"/>
      <c r="D27" s="171"/>
      <c r="E27" s="171"/>
      <c r="F27" s="39"/>
      <c r="G27" s="39"/>
      <c r="H27" s="39"/>
      <c r="I27" s="39"/>
      <c r="J27" s="39"/>
      <c r="K27" s="39"/>
      <c r="L27" s="39"/>
      <c r="M27" s="39"/>
      <c r="N27" s="39"/>
      <c r="O27" s="39"/>
      <c r="P27" s="39"/>
      <c r="Q27" s="39"/>
      <c r="R27" s="39"/>
      <c r="S27" s="39"/>
      <c r="T27" s="39"/>
      <c r="U27" s="39"/>
      <c r="V27" s="39"/>
      <c r="W27" s="39"/>
      <c r="X27" s="39"/>
      <c r="Y27" s="39"/>
      <c r="Z27" s="39"/>
    </row>
    <row r="28" spans="1:26" ht="15.75">
      <c r="A28" s="17" t="s">
        <v>111</v>
      </c>
      <c r="B28" s="66">
        <v>1</v>
      </c>
      <c r="C28" s="171"/>
      <c r="D28" s="171"/>
      <c r="E28" s="171"/>
      <c r="F28" s="39"/>
      <c r="G28" s="39"/>
      <c r="H28" s="39"/>
      <c r="I28" s="39"/>
      <c r="J28" s="39"/>
      <c r="K28" s="39"/>
      <c r="L28" s="39"/>
      <c r="M28" s="39"/>
      <c r="N28" s="39"/>
      <c r="O28" s="39"/>
      <c r="P28" s="39"/>
      <c r="Q28" s="39"/>
      <c r="R28" s="39"/>
      <c r="S28" s="39"/>
      <c r="T28" s="39"/>
      <c r="U28" s="39"/>
      <c r="V28" s="39"/>
      <c r="W28" s="39"/>
      <c r="X28" s="39"/>
      <c r="Y28" s="39"/>
      <c r="Z28" s="39"/>
    </row>
    <row r="29" spans="1:26" ht="15.75">
      <c r="A29" s="17" t="s">
        <v>112</v>
      </c>
      <c r="B29" s="66">
        <v>0</v>
      </c>
      <c r="C29" s="171"/>
      <c r="D29" s="171"/>
      <c r="E29" s="171"/>
      <c r="F29" s="39"/>
      <c r="G29" s="39"/>
      <c r="H29" s="39"/>
      <c r="I29" s="39"/>
      <c r="J29" s="39"/>
      <c r="K29" s="39"/>
      <c r="L29" s="39"/>
      <c r="M29" s="39"/>
      <c r="N29" s="39"/>
      <c r="O29" s="39"/>
      <c r="P29" s="39"/>
      <c r="Q29" s="39"/>
      <c r="R29" s="39"/>
      <c r="S29" s="39"/>
      <c r="T29" s="39"/>
      <c r="U29" s="39"/>
      <c r="V29" s="39"/>
      <c r="W29" s="39"/>
      <c r="X29" s="39"/>
      <c r="Y29" s="39"/>
      <c r="Z29" s="39"/>
    </row>
    <row r="30" spans="1:26" ht="31.5">
      <c r="A30" s="157" t="s">
        <v>332</v>
      </c>
      <c r="B30" s="69"/>
      <c r="C30" s="171"/>
      <c r="D30" s="171"/>
      <c r="E30" s="171"/>
      <c r="F30" s="39"/>
      <c r="G30" s="39"/>
      <c r="H30" s="39"/>
      <c r="I30" s="39"/>
      <c r="J30" s="39"/>
      <c r="K30" s="39"/>
      <c r="L30" s="39"/>
      <c r="M30" s="39"/>
      <c r="N30" s="39"/>
      <c r="O30" s="39"/>
      <c r="P30" s="39"/>
      <c r="Q30" s="39"/>
      <c r="R30" s="39"/>
      <c r="S30" s="39"/>
      <c r="T30" s="39"/>
      <c r="U30" s="39"/>
      <c r="V30" s="39"/>
      <c r="W30" s="39"/>
      <c r="X30" s="39"/>
      <c r="Y30" s="39"/>
      <c r="Z30" s="39"/>
    </row>
    <row r="31" spans="1:26" ht="15.75">
      <c r="A31" s="17" t="s">
        <v>26</v>
      </c>
      <c r="B31" s="67">
        <v>2</v>
      </c>
      <c r="C31" s="171"/>
      <c r="D31" s="171"/>
      <c r="E31" s="171"/>
      <c r="F31" s="39"/>
      <c r="G31" s="39"/>
      <c r="H31" s="39"/>
      <c r="I31" s="39"/>
      <c r="J31" s="39"/>
      <c r="K31" s="39"/>
      <c r="L31" s="39"/>
      <c r="M31" s="39"/>
      <c r="N31" s="39"/>
      <c r="O31" s="39"/>
      <c r="P31" s="39"/>
      <c r="Q31" s="39"/>
      <c r="R31" s="39"/>
      <c r="S31" s="39"/>
      <c r="T31" s="39"/>
      <c r="U31" s="39"/>
      <c r="V31" s="39"/>
      <c r="W31" s="39"/>
      <c r="X31" s="39"/>
      <c r="Y31" s="39"/>
      <c r="Z31" s="39"/>
    </row>
    <row r="32" spans="1:26" ht="15.75">
      <c r="A32" s="17" t="s">
        <v>114</v>
      </c>
      <c r="B32" s="66">
        <v>1</v>
      </c>
      <c r="C32" s="171"/>
      <c r="D32" s="171"/>
      <c r="E32" s="171"/>
      <c r="F32" s="39"/>
      <c r="G32" s="39"/>
      <c r="H32" s="39"/>
      <c r="I32" s="39"/>
      <c r="J32" s="39"/>
      <c r="K32" s="39"/>
      <c r="L32" s="39"/>
      <c r="M32" s="39"/>
      <c r="N32" s="39"/>
      <c r="O32" s="39"/>
      <c r="P32" s="39"/>
      <c r="Q32" s="39"/>
      <c r="R32" s="39"/>
      <c r="S32" s="39"/>
      <c r="T32" s="39"/>
      <c r="U32" s="39"/>
      <c r="V32" s="39"/>
      <c r="W32" s="39"/>
      <c r="X32" s="39"/>
      <c r="Y32" s="39"/>
      <c r="Z32" s="39"/>
    </row>
    <row r="33" spans="1:26" ht="15.75">
      <c r="A33" s="17" t="s">
        <v>115</v>
      </c>
      <c r="B33" s="66">
        <v>0</v>
      </c>
      <c r="C33" s="171"/>
      <c r="D33" s="171"/>
      <c r="E33" s="171"/>
      <c r="F33" s="39"/>
      <c r="G33" s="39"/>
      <c r="H33" s="39"/>
      <c r="I33" s="39"/>
      <c r="J33" s="39"/>
      <c r="K33" s="39"/>
      <c r="L33" s="39"/>
      <c r="M33" s="39"/>
      <c r="N33" s="39"/>
      <c r="O33" s="39"/>
      <c r="P33" s="39"/>
      <c r="Q33" s="39"/>
      <c r="R33" s="39"/>
      <c r="S33" s="39"/>
      <c r="T33" s="39"/>
      <c r="U33" s="39"/>
      <c r="V33" s="39"/>
      <c r="W33" s="39"/>
      <c r="X33" s="39"/>
      <c r="Y33" s="39"/>
      <c r="Z33" s="39"/>
    </row>
    <row r="34" spans="1:26" ht="31.5">
      <c r="A34" s="157" t="s">
        <v>333</v>
      </c>
      <c r="B34" s="69"/>
      <c r="C34" s="171"/>
      <c r="D34" s="171"/>
      <c r="E34" s="171"/>
      <c r="F34" s="39"/>
      <c r="G34" s="39"/>
      <c r="H34" s="39"/>
      <c r="I34" s="39"/>
      <c r="J34" s="39"/>
      <c r="K34" s="39"/>
      <c r="L34" s="39"/>
      <c r="M34" s="39"/>
      <c r="N34" s="39"/>
      <c r="O34" s="39"/>
      <c r="P34" s="39"/>
      <c r="Q34" s="39"/>
      <c r="R34" s="39"/>
      <c r="S34" s="39"/>
      <c r="T34" s="39"/>
      <c r="U34" s="39"/>
      <c r="V34" s="39"/>
      <c r="W34" s="39"/>
      <c r="X34" s="39"/>
      <c r="Y34" s="39"/>
      <c r="Z34" s="39"/>
    </row>
    <row r="35" spans="1:26" ht="15.75">
      <c r="A35" s="17" t="s">
        <v>26</v>
      </c>
      <c r="B35" s="67">
        <v>5</v>
      </c>
      <c r="C35" s="171"/>
      <c r="D35" s="171"/>
      <c r="E35" s="171"/>
      <c r="F35" s="39"/>
      <c r="G35" s="39"/>
      <c r="H35" s="39"/>
      <c r="I35" s="39"/>
      <c r="J35" s="39"/>
      <c r="K35" s="39"/>
      <c r="L35" s="39"/>
      <c r="M35" s="39"/>
      <c r="N35" s="39"/>
      <c r="O35" s="39"/>
      <c r="P35" s="39"/>
      <c r="Q35" s="39"/>
      <c r="R35" s="39"/>
      <c r="S35" s="39"/>
      <c r="T35" s="39"/>
      <c r="U35" s="39"/>
      <c r="V35" s="39"/>
      <c r="W35" s="39"/>
      <c r="X35" s="39"/>
      <c r="Y35" s="39"/>
      <c r="Z35" s="39"/>
    </row>
    <row r="36" spans="1:26" ht="15.75">
      <c r="A36" s="17" t="s">
        <v>117</v>
      </c>
      <c r="B36" s="66">
        <v>3</v>
      </c>
      <c r="C36" s="171"/>
      <c r="D36" s="171"/>
      <c r="E36" s="171"/>
      <c r="F36" s="39"/>
      <c r="G36" s="39"/>
      <c r="H36" s="39"/>
      <c r="I36" s="39"/>
      <c r="J36" s="39"/>
      <c r="K36" s="39"/>
      <c r="L36" s="39"/>
      <c r="M36" s="39"/>
      <c r="N36" s="39"/>
      <c r="O36" s="39"/>
      <c r="P36" s="39"/>
      <c r="Q36" s="39"/>
      <c r="R36" s="39"/>
      <c r="S36" s="39"/>
      <c r="T36" s="39"/>
      <c r="U36" s="39"/>
      <c r="V36" s="39"/>
      <c r="W36" s="39"/>
      <c r="X36" s="39"/>
      <c r="Y36" s="39"/>
      <c r="Z36" s="39"/>
    </row>
    <row r="37" spans="1:26" ht="15.75">
      <c r="A37" s="17" t="s">
        <v>118</v>
      </c>
      <c r="B37" s="66">
        <v>0</v>
      </c>
      <c r="C37" s="171"/>
      <c r="D37" s="171"/>
      <c r="E37" s="171"/>
      <c r="F37" s="39"/>
      <c r="G37" s="39"/>
      <c r="H37" s="39"/>
      <c r="I37" s="39"/>
      <c r="J37" s="39"/>
      <c r="K37" s="39"/>
      <c r="L37" s="39"/>
      <c r="M37" s="39"/>
      <c r="N37" s="39"/>
      <c r="O37" s="39"/>
      <c r="P37" s="39"/>
      <c r="Q37" s="39"/>
      <c r="R37" s="39"/>
      <c r="S37" s="39"/>
      <c r="T37" s="39"/>
      <c r="U37" s="39"/>
      <c r="V37" s="39"/>
      <c r="W37" s="39"/>
      <c r="X37" s="39"/>
      <c r="Y37" s="39"/>
      <c r="Z37" s="39"/>
    </row>
    <row r="38" spans="1:26" ht="15.75">
      <c r="A38" s="17" t="s">
        <v>119</v>
      </c>
      <c r="B38" s="66">
        <v>-5</v>
      </c>
      <c r="C38" s="171"/>
      <c r="D38" s="171"/>
      <c r="E38" s="171"/>
      <c r="F38" s="39"/>
      <c r="G38" s="39"/>
      <c r="H38" s="39"/>
      <c r="I38" s="39"/>
      <c r="J38" s="39"/>
      <c r="K38" s="39"/>
      <c r="L38" s="39"/>
      <c r="M38" s="39"/>
      <c r="N38" s="39"/>
      <c r="O38" s="39"/>
      <c r="P38" s="39"/>
      <c r="Q38" s="39"/>
      <c r="R38" s="39"/>
      <c r="S38" s="39"/>
      <c r="T38" s="39"/>
      <c r="U38" s="39"/>
      <c r="V38" s="39"/>
      <c r="W38" s="39"/>
      <c r="X38" s="39"/>
      <c r="Y38" s="39"/>
      <c r="Z38" s="39"/>
    </row>
    <row r="39" spans="1:26" ht="31.5">
      <c r="A39" s="158" t="s">
        <v>120</v>
      </c>
      <c r="B39" s="69"/>
      <c r="C39" s="171"/>
      <c r="D39" s="171"/>
      <c r="E39" s="171"/>
      <c r="F39" s="39"/>
      <c r="G39" s="39"/>
      <c r="H39" s="39"/>
      <c r="I39" s="39"/>
      <c r="J39" s="39"/>
      <c r="K39" s="39"/>
      <c r="L39" s="39"/>
      <c r="M39" s="39"/>
      <c r="N39" s="39"/>
      <c r="O39" s="39"/>
      <c r="P39" s="39"/>
      <c r="Q39" s="39"/>
      <c r="R39" s="39"/>
      <c r="S39" s="39"/>
      <c r="T39" s="39"/>
      <c r="U39" s="39"/>
      <c r="V39" s="39"/>
      <c r="W39" s="39"/>
      <c r="X39" s="39"/>
      <c r="Y39" s="39"/>
      <c r="Z39" s="39"/>
    </row>
    <row r="40" spans="1:26" ht="15.75">
      <c r="A40" s="157" t="s">
        <v>334</v>
      </c>
      <c r="B40" s="67">
        <v>3</v>
      </c>
      <c r="C40" s="171"/>
      <c r="D40" s="171"/>
      <c r="E40" s="171"/>
      <c r="F40" s="39"/>
      <c r="G40" s="39"/>
      <c r="H40" s="39"/>
      <c r="I40" s="39"/>
      <c r="J40" s="39"/>
      <c r="K40" s="39"/>
      <c r="L40" s="39"/>
      <c r="M40" s="39"/>
      <c r="N40" s="39"/>
      <c r="O40" s="39"/>
      <c r="P40" s="39"/>
      <c r="Q40" s="39"/>
      <c r="R40" s="39"/>
      <c r="S40" s="39"/>
      <c r="T40" s="39"/>
      <c r="U40" s="39"/>
      <c r="V40" s="39"/>
      <c r="W40" s="39"/>
      <c r="X40" s="39"/>
      <c r="Y40" s="39"/>
      <c r="Z40" s="39"/>
    </row>
    <row r="41" spans="1:26" ht="15.75">
      <c r="A41" s="157" t="s">
        <v>335</v>
      </c>
      <c r="B41" s="66">
        <v>0</v>
      </c>
      <c r="C41" s="171"/>
      <c r="D41" s="171"/>
      <c r="E41" s="171"/>
      <c r="F41" s="39"/>
      <c r="G41" s="39"/>
      <c r="H41" s="39"/>
      <c r="I41" s="39"/>
      <c r="J41" s="39"/>
      <c r="K41" s="39"/>
      <c r="L41" s="39"/>
      <c r="M41" s="39"/>
      <c r="N41" s="39"/>
      <c r="O41" s="39"/>
      <c r="P41" s="39"/>
      <c r="Q41" s="39"/>
      <c r="R41" s="39"/>
      <c r="S41" s="39"/>
      <c r="T41" s="39"/>
      <c r="U41" s="39"/>
      <c r="V41" s="39"/>
      <c r="W41" s="39"/>
      <c r="X41" s="39"/>
      <c r="Y41" s="39"/>
      <c r="Z41" s="39"/>
    </row>
    <row r="42" spans="1:26" ht="15.75">
      <c r="A42" s="17" t="s">
        <v>123</v>
      </c>
      <c r="B42" s="66">
        <v>-5</v>
      </c>
      <c r="C42" s="171"/>
      <c r="D42" s="171"/>
      <c r="E42" s="171"/>
      <c r="F42" s="39"/>
      <c r="G42" s="39"/>
      <c r="H42" s="39"/>
      <c r="I42" s="39"/>
      <c r="J42" s="39"/>
      <c r="K42" s="39"/>
      <c r="L42" s="39"/>
      <c r="M42" s="39"/>
      <c r="N42" s="39"/>
      <c r="O42" s="39"/>
      <c r="P42" s="39"/>
      <c r="Q42" s="39"/>
      <c r="R42" s="39"/>
      <c r="S42" s="39"/>
      <c r="T42" s="39"/>
      <c r="U42" s="39"/>
      <c r="V42" s="39"/>
      <c r="W42" s="39"/>
      <c r="X42" s="39"/>
      <c r="Y42" s="39"/>
      <c r="Z42" s="39"/>
    </row>
    <row r="43" spans="1:26" ht="31.5">
      <c r="A43" s="159" t="s">
        <v>124</v>
      </c>
      <c r="B43" s="69"/>
      <c r="C43" s="171"/>
      <c r="D43" s="171"/>
      <c r="E43" s="171"/>
      <c r="F43" s="39"/>
      <c r="G43" s="39"/>
      <c r="H43" s="39"/>
      <c r="I43" s="39"/>
      <c r="J43" s="39"/>
      <c r="K43" s="39"/>
      <c r="L43" s="39"/>
      <c r="M43" s="39"/>
      <c r="N43" s="39"/>
      <c r="O43" s="39"/>
      <c r="P43" s="39"/>
      <c r="Q43" s="39"/>
      <c r="R43" s="39"/>
      <c r="S43" s="39"/>
      <c r="T43" s="39"/>
      <c r="U43" s="39"/>
      <c r="V43" s="39"/>
      <c r="W43" s="39"/>
      <c r="X43" s="39"/>
      <c r="Y43" s="39"/>
      <c r="Z43" s="39"/>
    </row>
    <row r="44" spans="1:26" ht="15.75">
      <c r="A44" s="160" t="s">
        <v>336</v>
      </c>
      <c r="B44" s="67">
        <v>3</v>
      </c>
      <c r="C44" s="171"/>
      <c r="D44" s="171"/>
      <c r="E44" s="171"/>
      <c r="F44" s="39"/>
      <c r="G44" s="39"/>
      <c r="H44" s="39"/>
      <c r="I44" s="39"/>
      <c r="J44" s="39"/>
      <c r="K44" s="39"/>
      <c r="L44" s="39"/>
      <c r="M44" s="39"/>
      <c r="N44" s="39"/>
      <c r="O44" s="39"/>
      <c r="P44" s="39"/>
      <c r="Q44" s="39"/>
      <c r="R44" s="39"/>
      <c r="S44" s="39"/>
      <c r="T44" s="39"/>
      <c r="U44" s="39"/>
      <c r="V44" s="39"/>
      <c r="W44" s="39"/>
      <c r="X44" s="39"/>
      <c r="Y44" s="39"/>
      <c r="Z44" s="39"/>
    </row>
    <row r="45" spans="1:26" ht="15.75">
      <c r="A45" s="18" t="s">
        <v>126</v>
      </c>
      <c r="B45" s="66">
        <v>0</v>
      </c>
      <c r="C45" s="171"/>
      <c r="D45" s="171"/>
      <c r="E45" s="171"/>
      <c r="F45" s="39"/>
      <c r="G45" s="39"/>
      <c r="H45" s="39"/>
      <c r="I45" s="39"/>
      <c r="J45" s="39"/>
      <c r="K45" s="39"/>
      <c r="L45" s="39"/>
      <c r="M45" s="39"/>
      <c r="N45" s="39"/>
      <c r="O45" s="39"/>
      <c r="P45" s="39"/>
      <c r="Q45" s="39"/>
      <c r="R45" s="39"/>
      <c r="S45" s="39"/>
      <c r="T45" s="39"/>
      <c r="U45" s="39"/>
      <c r="V45" s="39"/>
      <c r="W45" s="39"/>
      <c r="X45" s="39"/>
      <c r="Y45" s="39"/>
      <c r="Z45" s="39"/>
    </row>
    <row r="46" spans="1:26" ht="15.75">
      <c r="A46" s="158" t="s">
        <v>127</v>
      </c>
      <c r="B46" s="67"/>
      <c r="C46" s="171"/>
      <c r="D46" s="171"/>
      <c r="E46" s="171"/>
      <c r="F46" s="39"/>
      <c r="G46" s="39"/>
      <c r="H46" s="39"/>
      <c r="I46" s="39"/>
      <c r="J46" s="39"/>
      <c r="K46" s="39"/>
      <c r="L46" s="39"/>
      <c r="M46" s="39"/>
      <c r="N46" s="39"/>
      <c r="O46" s="39"/>
      <c r="P46" s="39"/>
      <c r="Q46" s="39"/>
      <c r="R46" s="39"/>
      <c r="S46" s="39"/>
      <c r="T46" s="39"/>
      <c r="U46" s="39"/>
      <c r="V46" s="39"/>
      <c r="W46" s="39"/>
      <c r="X46" s="39"/>
      <c r="Y46" s="39"/>
      <c r="Z46" s="39"/>
    </row>
    <row r="47" spans="1:26" ht="15.75">
      <c r="A47" s="17" t="s">
        <v>52</v>
      </c>
      <c r="B47" s="67">
        <v>7</v>
      </c>
      <c r="C47" s="171"/>
      <c r="D47" s="171"/>
      <c r="E47" s="171"/>
      <c r="F47" s="39"/>
      <c r="G47" s="39"/>
      <c r="H47" s="39"/>
      <c r="I47" s="39"/>
      <c r="J47" s="39"/>
      <c r="K47" s="39"/>
      <c r="L47" s="39"/>
      <c r="M47" s="39"/>
      <c r="N47" s="39"/>
      <c r="O47" s="39"/>
      <c r="P47" s="39"/>
      <c r="Q47" s="39"/>
      <c r="R47" s="39"/>
      <c r="S47" s="39"/>
      <c r="T47" s="39"/>
      <c r="U47" s="39"/>
      <c r="V47" s="39"/>
      <c r="W47" s="39"/>
      <c r="X47" s="39"/>
      <c r="Y47" s="39"/>
      <c r="Z47" s="39"/>
    </row>
    <row r="48" spans="1:26" ht="15.75">
      <c r="A48" s="17" t="s">
        <v>128</v>
      </c>
      <c r="B48" s="66">
        <v>-5</v>
      </c>
      <c r="C48" s="171"/>
      <c r="D48" s="171"/>
      <c r="E48" s="171"/>
      <c r="F48" s="39"/>
      <c r="G48" s="39"/>
      <c r="H48" s="39"/>
      <c r="I48" s="39"/>
      <c r="J48" s="39"/>
      <c r="K48" s="39"/>
      <c r="L48" s="39"/>
      <c r="M48" s="39"/>
      <c r="N48" s="39"/>
      <c r="O48" s="39"/>
      <c r="P48" s="39"/>
      <c r="Q48" s="39"/>
      <c r="R48" s="39"/>
      <c r="S48" s="39"/>
      <c r="T48" s="39"/>
      <c r="U48" s="39"/>
      <c r="V48" s="39"/>
      <c r="W48" s="39"/>
      <c r="X48" s="39"/>
      <c r="Y48" s="39"/>
      <c r="Z48" s="39"/>
    </row>
    <row r="49" spans="1:26" ht="15.75">
      <c r="A49" s="17" t="s">
        <v>129</v>
      </c>
      <c r="B49" s="66">
        <v>-10</v>
      </c>
      <c r="C49" s="171"/>
      <c r="D49" s="171"/>
      <c r="E49" s="171"/>
      <c r="F49" s="39"/>
      <c r="G49" s="39"/>
      <c r="H49" s="39"/>
      <c r="I49" s="39"/>
      <c r="J49" s="39"/>
      <c r="K49" s="39"/>
      <c r="L49" s="39"/>
      <c r="M49" s="39"/>
      <c r="N49" s="39"/>
      <c r="O49" s="39"/>
      <c r="P49" s="39"/>
      <c r="Q49" s="39"/>
      <c r="R49" s="39"/>
      <c r="S49" s="39"/>
      <c r="T49" s="39"/>
      <c r="U49" s="39"/>
      <c r="V49" s="39"/>
      <c r="W49" s="39"/>
      <c r="X49" s="39"/>
      <c r="Y49" s="39"/>
      <c r="Z49" s="39"/>
    </row>
    <row r="50" spans="1:26" ht="31.5">
      <c r="A50" s="59" t="s">
        <v>337</v>
      </c>
      <c r="B50" s="161">
        <f>SUM(B52,B57)</f>
        <v>10</v>
      </c>
      <c r="C50" s="172"/>
      <c r="D50" s="172"/>
      <c r="E50" s="172"/>
      <c r="F50" s="39"/>
      <c r="G50" s="39"/>
      <c r="H50" s="39"/>
      <c r="I50" s="39"/>
      <c r="J50" s="39"/>
      <c r="K50" s="39"/>
      <c r="L50" s="39"/>
      <c r="M50" s="39"/>
      <c r="N50" s="39"/>
      <c r="O50" s="39"/>
      <c r="P50" s="39"/>
      <c r="Q50" s="39"/>
      <c r="R50" s="39"/>
      <c r="S50" s="39"/>
      <c r="T50" s="39"/>
      <c r="U50" s="39"/>
      <c r="V50" s="39"/>
      <c r="W50" s="39"/>
      <c r="X50" s="39"/>
      <c r="Y50" s="39"/>
      <c r="Z50" s="39"/>
    </row>
    <row r="51" spans="1:26" ht="47.25">
      <c r="A51" s="60" t="s">
        <v>313</v>
      </c>
      <c r="B51" s="171"/>
      <c r="C51" s="171"/>
      <c r="D51" s="171"/>
      <c r="E51" s="171"/>
      <c r="F51" s="39"/>
      <c r="G51" s="39"/>
      <c r="H51" s="39"/>
      <c r="I51" s="39"/>
      <c r="J51" s="39"/>
      <c r="K51" s="39"/>
      <c r="L51" s="39"/>
      <c r="M51" s="39"/>
      <c r="N51" s="39"/>
      <c r="O51" s="39"/>
      <c r="P51" s="39"/>
      <c r="Q51" s="39"/>
      <c r="R51" s="39"/>
      <c r="S51" s="39"/>
      <c r="T51" s="39"/>
      <c r="U51" s="39"/>
      <c r="V51" s="39"/>
      <c r="W51" s="39"/>
      <c r="X51" s="39"/>
      <c r="Y51" s="39"/>
      <c r="Z51" s="39"/>
    </row>
    <row r="52" spans="1:26" ht="15.75">
      <c r="A52" s="61" t="s">
        <v>314</v>
      </c>
      <c r="B52" s="162">
        <v>7</v>
      </c>
      <c r="C52" s="171"/>
      <c r="D52" s="171"/>
      <c r="E52" s="171"/>
      <c r="F52" s="39"/>
      <c r="G52" s="39"/>
      <c r="H52" s="39"/>
      <c r="I52" s="39"/>
      <c r="J52" s="39"/>
      <c r="K52" s="39"/>
      <c r="L52" s="39"/>
      <c r="M52" s="39"/>
      <c r="N52" s="39"/>
      <c r="O52" s="39"/>
      <c r="P52" s="39"/>
      <c r="Q52" s="39"/>
      <c r="R52" s="39"/>
      <c r="S52" s="39"/>
      <c r="T52" s="39"/>
      <c r="U52" s="39"/>
      <c r="V52" s="39"/>
      <c r="W52" s="39"/>
      <c r="X52" s="39"/>
      <c r="Y52" s="39"/>
      <c r="Z52" s="39"/>
    </row>
    <row r="53" spans="1:26" ht="15.75">
      <c r="A53" s="61" t="s">
        <v>315</v>
      </c>
      <c r="B53" s="163">
        <v>5</v>
      </c>
      <c r="C53" s="171"/>
      <c r="D53" s="171"/>
      <c r="E53" s="171"/>
      <c r="F53" s="39"/>
      <c r="G53" s="39"/>
      <c r="H53" s="39"/>
      <c r="I53" s="39"/>
      <c r="J53" s="39"/>
      <c r="K53" s="39"/>
      <c r="L53" s="39"/>
      <c r="M53" s="39"/>
      <c r="N53" s="39"/>
      <c r="O53" s="39"/>
      <c r="P53" s="39"/>
      <c r="Q53" s="39"/>
      <c r="R53" s="39"/>
      <c r="S53" s="39"/>
      <c r="T53" s="39"/>
      <c r="U53" s="39"/>
      <c r="V53" s="39"/>
      <c r="W53" s="39"/>
      <c r="X53" s="39"/>
      <c r="Y53" s="39"/>
      <c r="Z53" s="39"/>
    </row>
    <row r="54" spans="1:26" ht="15.75">
      <c r="A54" s="61" t="s">
        <v>316</v>
      </c>
      <c r="B54" s="163">
        <v>3</v>
      </c>
      <c r="C54" s="171"/>
      <c r="D54" s="171"/>
      <c r="E54" s="171"/>
      <c r="F54" s="39"/>
      <c r="G54" s="39"/>
      <c r="H54" s="39"/>
      <c r="I54" s="39"/>
      <c r="J54" s="39"/>
      <c r="K54" s="39"/>
      <c r="L54" s="39"/>
      <c r="M54" s="39"/>
      <c r="N54" s="39"/>
      <c r="O54" s="39"/>
      <c r="P54" s="39"/>
      <c r="Q54" s="39"/>
      <c r="R54" s="39"/>
      <c r="S54" s="39"/>
      <c r="T54" s="39"/>
      <c r="U54" s="39"/>
      <c r="V54" s="39"/>
      <c r="W54" s="39"/>
      <c r="X54" s="39"/>
      <c r="Y54" s="39"/>
      <c r="Z54" s="39"/>
    </row>
    <row r="55" spans="1:26" ht="15.75">
      <c r="A55" s="62" t="s">
        <v>138</v>
      </c>
      <c r="B55" s="163">
        <v>0</v>
      </c>
      <c r="C55" s="171"/>
      <c r="D55" s="171"/>
      <c r="E55" s="171"/>
      <c r="F55" s="39"/>
      <c r="G55" s="39"/>
      <c r="H55" s="39"/>
      <c r="I55" s="39"/>
      <c r="J55" s="39"/>
      <c r="K55" s="39"/>
      <c r="L55" s="39"/>
      <c r="M55" s="39"/>
      <c r="N55" s="39"/>
      <c r="O55" s="39"/>
      <c r="P55" s="39"/>
      <c r="Q55" s="39"/>
      <c r="R55" s="39"/>
      <c r="S55" s="39"/>
      <c r="T55" s="39"/>
      <c r="U55" s="39"/>
      <c r="V55" s="39"/>
      <c r="W55" s="39"/>
      <c r="X55" s="39"/>
      <c r="Y55" s="39"/>
      <c r="Z55" s="39"/>
    </row>
    <row r="56" spans="1:26" ht="31.5">
      <c r="A56" s="60" t="s">
        <v>317</v>
      </c>
      <c r="B56" s="163"/>
      <c r="C56" s="171"/>
      <c r="D56" s="171"/>
      <c r="E56" s="171"/>
      <c r="F56" s="39"/>
      <c r="G56" s="39"/>
      <c r="H56" s="39"/>
      <c r="I56" s="39"/>
      <c r="J56" s="39"/>
      <c r="K56" s="39"/>
      <c r="L56" s="39"/>
      <c r="M56" s="39"/>
      <c r="N56" s="39"/>
      <c r="O56" s="39"/>
      <c r="P56" s="39"/>
      <c r="Q56" s="39"/>
      <c r="R56" s="39"/>
      <c r="S56" s="39"/>
      <c r="T56" s="39"/>
      <c r="U56" s="39"/>
      <c r="V56" s="39"/>
      <c r="W56" s="39"/>
      <c r="X56" s="39"/>
      <c r="Y56" s="39"/>
      <c r="Z56" s="39"/>
    </row>
    <row r="57" spans="1:26" ht="15.75">
      <c r="A57" s="62" t="s">
        <v>318</v>
      </c>
      <c r="B57" s="163">
        <v>3</v>
      </c>
      <c r="C57" s="171"/>
      <c r="D57" s="171"/>
      <c r="E57" s="171"/>
      <c r="F57" s="39"/>
      <c r="G57" s="39"/>
      <c r="H57" s="39"/>
      <c r="I57" s="39"/>
      <c r="J57" s="39"/>
      <c r="K57" s="39"/>
      <c r="L57" s="39"/>
      <c r="M57" s="39"/>
      <c r="N57" s="39"/>
      <c r="O57" s="39"/>
      <c r="P57" s="39"/>
      <c r="Q57" s="39"/>
      <c r="R57" s="39"/>
      <c r="S57" s="39"/>
      <c r="T57" s="39"/>
      <c r="U57" s="39"/>
      <c r="V57" s="39"/>
      <c r="W57" s="39"/>
      <c r="X57" s="39"/>
      <c r="Y57" s="39"/>
      <c r="Z57" s="39"/>
    </row>
    <row r="58" spans="1:26" ht="15.75">
      <c r="A58" s="62" t="s">
        <v>319</v>
      </c>
      <c r="B58" s="163">
        <v>1</v>
      </c>
      <c r="C58" s="171"/>
      <c r="D58" s="171"/>
      <c r="E58" s="171"/>
      <c r="F58" s="39"/>
      <c r="G58" s="39"/>
      <c r="H58" s="39"/>
      <c r="I58" s="39"/>
      <c r="J58" s="39"/>
      <c r="K58" s="39"/>
      <c r="L58" s="39"/>
      <c r="M58" s="39"/>
      <c r="N58" s="39"/>
      <c r="O58" s="39"/>
      <c r="P58" s="39"/>
      <c r="Q58" s="39"/>
      <c r="R58" s="39"/>
      <c r="S58" s="39"/>
      <c r="T58" s="39"/>
      <c r="U58" s="39"/>
      <c r="V58" s="39"/>
      <c r="W58" s="39"/>
      <c r="X58" s="39"/>
      <c r="Y58" s="39"/>
      <c r="Z58" s="39"/>
    </row>
    <row r="59" spans="1:26" ht="15.75">
      <c r="A59" s="62" t="s">
        <v>143</v>
      </c>
      <c r="B59" s="163">
        <v>0</v>
      </c>
      <c r="C59" s="171"/>
      <c r="D59" s="171"/>
      <c r="E59" s="171"/>
      <c r="F59" s="39"/>
      <c r="G59" s="39"/>
      <c r="H59" s="39"/>
      <c r="I59" s="39"/>
      <c r="J59" s="39"/>
      <c r="K59" s="39"/>
      <c r="L59" s="39"/>
      <c r="M59" s="39"/>
      <c r="N59" s="39"/>
      <c r="O59" s="39"/>
      <c r="P59" s="39"/>
      <c r="Q59" s="39"/>
      <c r="R59" s="39"/>
      <c r="S59" s="39"/>
      <c r="T59" s="39"/>
      <c r="U59" s="39"/>
      <c r="V59" s="39"/>
      <c r="W59" s="39"/>
      <c r="X59" s="39"/>
      <c r="Y59" s="39"/>
      <c r="Z59" s="39"/>
    </row>
    <row r="60" spans="1:26" ht="15.75">
      <c r="A60" s="164" t="s">
        <v>139</v>
      </c>
      <c r="B60" s="161">
        <f>SUM(B62,B66,B70,B75)</f>
        <v>15</v>
      </c>
      <c r="C60" s="172"/>
      <c r="D60" s="172"/>
      <c r="E60" s="172"/>
      <c r="F60" s="39"/>
      <c r="G60" s="39"/>
      <c r="H60" s="39"/>
      <c r="I60" s="39"/>
      <c r="J60" s="39"/>
      <c r="K60" s="39"/>
      <c r="L60" s="39"/>
      <c r="M60" s="39"/>
      <c r="N60" s="39"/>
      <c r="O60" s="39"/>
      <c r="P60" s="39"/>
      <c r="Q60" s="39"/>
      <c r="R60" s="39"/>
      <c r="S60" s="39"/>
      <c r="T60" s="39"/>
      <c r="U60" s="39"/>
      <c r="V60" s="39"/>
      <c r="W60" s="39"/>
      <c r="X60" s="39"/>
      <c r="Y60" s="39"/>
      <c r="Z60" s="39"/>
    </row>
    <row r="61" spans="1:26" ht="31.5">
      <c r="A61" s="159" t="s">
        <v>320</v>
      </c>
      <c r="B61" s="171"/>
      <c r="C61" s="171"/>
      <c r="D61" s="171"/>
      <c r="E61" s="171"/>
      <c r="F61" s="39"/>
      <c r="G61" s="39"/>
      <c r="H61" s="39"/>
      <c r="I61" s="39"/>
      <c r="J61" s="39"/>
      <c r="K61" s="39"/>
      <c r="L61" s="39"/>
      <c r="M61" s="39"/>
      <c r="N61" s="39"/>
      <c r="O61" s="39"/>
      <c r="P61" s="39"/>
      <c r="Q61" s="39"/>
      <c r="R61" s="39"/>
      <c r="S61" s="39"/>
      <c r="T61" s="39"/>
      <c r="U61" s="39"/>
      <c r="V61" s="39"/>
      <c r="W61" s="39"/>
      <c r="X61" s="39"/>
      <c r="Y61" s="39"/>
      <c r="Z61" s="39"/>
    </row>
    <row r="62" spans="1:26" ht="15.75">
      <c r="A62" s="165" t="s">
        <v>141</v>
      </c>
      <c r="B62" s="153">
        <v>4</v>
      </c>
      <c r="C62" s="171"/>
      <c r="D62" s="171"/>
      <c r="E62" s="171"/>
      <c r="F62" s="39"/>
      <c r="G62" s="39"/>
      <c r="H62" s="39"/>
      <c r="I62" s="39"/>
      <c r="J62" s="39"/>
      <c r="K62" s="39"/>
      <c r="L62" s="39"/>
      <c r="M62" s="39"/>
      <c r="N62" s="39"/>
      <c r="O62" s="39"/>
      <c r="P62" s="39"/>
      <c r="Q62" s="39"/>
      <c r="R62" s="39"/>
      <c r="S62" s="39"/>
      <c r="T62" s="39"/>
      <c r="U62" s="39"/>
      <c r="V62" s="39"/>
      <c r="W62" s="39"/>
      <c r="X62" s="39"/>
      <c r="Y62" s="39"/>
      <c r="Z62" s="39"/>
    </row>
    <row r="63" spans="1:26" ht="15.75">
      <c r="A63" s="165" t="s">
        <v>142</v>
      </c>
      <c r="B63" s="163">
        <v>2</v>
      </c>
      <c r="C63" s="171"/>
      <c r="D63" s="171"/>
      <c r="E63" s="171"/>
      <c r="F63" s="39"/>
      <c r="G63" s="39"/>
      <c r="H63" s="39"/>
      <c r="I63" s="39"/>
      <c r="J63" s="39"/>
      <c r="K63" s="39"/>
      <c r="L63" s="39"/>
      <c r="M63" s="39"/>
      <c r="N63" s="39"/>
      <c r="O63" s="39"/>
      <c r="P63" s="39"/>
      <c r="Q63" s="39"/>
      <c r="R63" s="39"/>
      <c r="S63" s="39"/>
      <c r="T63" s="39"/>
      <c r="U63" s="39"/>
      <c r="V63" s="39"/>
      <c r="W63" s="39"/>
      <c r="X63" s="39"/>
      <c r="Y63" s="39"/>
      <c r="Z63" s="39"/>
    </row>
    <row r="64" spans="1:26" ht="15.75">
      <c r="A64" s="165" t="s">
        <v>143</v>
      </c>
      <c r="B64" s="163">
        <v>0</v>
      </c>
      <c r="C64" s="171"/>
      <c r="D64" s="171"/>
      <c r="E64" s="171"/>
      <c r="F64" s="39"/>
      <c r="G64" s="39"/>
      <c r="H64" s="39"/>
      <c r="I64" s="39"/>
      <c r="J64" s="39"/>
      <c r="K64" s="39"/>
      <c r="L64" s="39"/>
      <c r="M64" s="39"/>
      <c r="N64" s="39"/>
      <c r="O64" s="39"/>
      <c r="P64" s="39"/>
      <c r="Q64" s="39"/>
      <c r="R64" s="39"/>
      <c r="S64" s="39"/>
      <c r="T64" s="39"/>
      <c r="U64" s="39"/>
      <c r="V64" s="39"/>
      <c r="W64" s="39"/>
      <c r="X64" s="39"/>
      <c r="Y64" s="39"/>
      <c r="Z64" s="39"/>
    </row>
    <row r="65" spans="1:26" ht="31.5">
      <c r="A65" s="159" t="s">
        <v>144</v>
      </c>
      <c r="B65" s="171"/>
      <c r="C65" s="171"/>
      <c r="D65" s="171"/>
      <c r="E65" s="171"/>
      <c r="F65" s="39"/>
      <c r="G65" s="39"/>
      <c r="H65" s="39"/>
      <c r="I65" s="39"/>
      <c r="J65" s="39"/>
      <c r="K65" s="39"/>
      <c r="L65" s="39"/>
      <c r="M65" s="39"/>
      <c r="N65" s="39"/>
      <c r="O65" s="39"/>
      <c r="P65" s="39"/>
      <c r="Q65" s="39"/>
      <c r="R65" s="39"/>
      <c r="S65" s="39"/>
      <c r="T65" s="39"/>
      <c r="U65" s="39"/>
      <c r="V65" s="39"/>
      <c r="W65" s="39"/>
      <c r="X65" s="39"/>
      <c r="Y65" s="39"/>
      <c r="Z65" s="39"/>
    </row>
    <row r="66" spans="1:26" ht="15.75">
      <c r="A66" s="18" t="s">
        <v>145</v>
      </c>
      <c r="B66" s="153">
        <v>3</v>
      </c>
      <c r="C66" s="171"/>
      <c r="D66" s="171"/>
      <c r="E66" s="171"/>
      <c r="F66" s="39"/>
      <c r="G66" s="39"/>
      <c r="H66" s="39"/>
      <c r="I66" s="39"/>
      <c r="J66" s="39"/>
      <c r="K66" s="39"/>
      <c r="L66" s="39"/>
      <c r="M66" s="39"/>
      <c r="N66" s="39"/>
      <c r="O66" s="39"/>
      <c r="P66" s="39"/>
      <c r="Q66" s="39"/>
      <c r="R66" s="39"/>
      <c r="S66" s="39"/>
      <c r="T66" s="39"/>
      <c r="U66" s="39"/>
      <c r="V66" s="39"/>
      <c r="W66" s="39"/>
      <c r="X66" s="39"/>
      <c r="Y66" s="39"/>
      <c r="Z66" s="39"/>
    </row>
    <row r="67" spans="1:26" ht="15.75">
      <c r="A67" s="18" t="s">
        <v>146</v>
      </c>
      <c r="B67" s="163">
        <v>0</v>
      </c>
      <c r="C67" s="171"/>
      <c r="D67" s="171"/>
      <c r="E67" s="171"/>
      <c r="F67" s="39"/>
      <c r="G67" s="39"/>
      <c r="H67" s="39"/>
      <c r="I67" s="39"/>
      <c r="J67" s="39"/>
      <c r="K67" s="39"/>
      <c r="L67" s="39"/>
      <c r="M67" s="39"/>
      <c r="N67" s="39"/>
      <c r="O67" s="39"/>
      <c r="P67" s="39"/>
      <c r="Q67" s="39"/>
      <c r="R67" s="39"/>
      <c r="S67" s="39"/>
      <c r="T67" s="39"/>
      <c r="U67" s="39"/>
      <c r="V67" s="39"/>
      <c r="W67" s="39"/>
      <c r="X67" s="39"/>
      <c r="Y67" s="39"/>
      <c r="Z67" s="39"/>
    </row>
    <row r="68" spans="1:26" ht="15.75">
      <c r="A68" s="18" t="s">
        <v>143</v>
      </c>
      <c r="B68" s="163">
        <v>-5</v>
      </c>
      <c r="C68" s="171"/>
      <c r="D68" s="171"/>
      <c r="E68" s="171"/>
      <c r="F68" s="39"/>
      <c r="G68" s="39"/>
      <c r="H68" s="39"/>
      <c r="I68" s="39"/>
      <c r="J68" s="39"/>
      <c r="K68" s="39"/>
      <c r="L68" s="39"/>
      <c r="M68" s="39"/>
      <c r="N68" s="39"/>
      <c r="O68" s="39"/>
      <c r="P68" s="39"/>
      <c r="Q68" s="39"/>
      <c r="R68" s="39"/>
      <c r="S68" s="39"/>
      <c r="T68" s="39"/>
      <c r="U68" s="39"/>
      <c r="V68" s="39"/>
      <c r="W68" s="39"/>
      <c r="X68" s="39"/>
      <c r="Y68" s="39"/>
      <c r="Z68" s="39"/>
    </row>
    <row r="69" spans="1:26" ht="36.75" customHeight="1">
      <c r="A69" s="159" t="s">
        <v>147</v>
      </c>
      <c r="B69" s="171"/>
      <c r="C69" s="171"/>
      <c r="D69" s="171"/>
      <c r="E69" s="171"/>
      <c r="F69" s="39"/>
      <c r="G69" s="39"/>
      <c r="H69" s="39"/>
      <c r="I69" s="39"/>
      <c r="J69" s="39"/>
      <c r="K69" s="39"/>
      <c r="L69" s="39"/>
      <c r="M69" s="39"/>
      <c r="N69" s="39"/>
      <c r="O69" s="39"/>
      <c r="P69" s="39"/>
      <c r="Q69" s="39"/>
      <c r="R69" s="39"/>
      <c r="S69" s="39"/>
      <c r="T69" s="39"/>
      <c r="U69" s="39"/>
      <c r="V69" s="39"/>
      <c r="W69" s="39"/>
      <c r="X69" s="39"/>
      <c r="Y69" s="39"/>
      <c r="Z69" s="39"/>
    </row>
    <row r="70" spans="1:26" ht="47.25">
      <c r="A70" s="18" t="s">
        <v>148</v>
      </c>
      <c r="B70" s="153">
        <v>3</v>
      </c>
      <c r="C70" s="171"/>
      <c r="D70" s="171"/>
      <c r="E70" s="171"/>
      <c r="F70" s="39"/>
      <c r="G70" s="39"/>
      <c r="H70" s="39"/>
      <c r="I70" s="39"/>
      <c r="J70" s="39"/>
      <c r="K70" s="39"/>
      <c r="L70" s="39"/>
      <c r="M70" s="39"/>
      <c r="N70" s="39"/>
      <c r="O70" s="39"/>
      <c r="P70" s="39"/>
      <c r="Q70" s="39"/>
      <c r="R70" s="39"/>
      <c r="S70" s="39"/>
      <c r="T70" s="39"/>
      <c r="U70" s="39"/>
      <c r="V70" s="39"/>
      <c r="W70" s="39"/>
      <c r="X70" s="39"/>
      <c r="Y70" s="39"/>
      <c r="Z70" s="39"/>
    </row>
    <row r="71" spans="1:26" ht="15.75">
      <c r="A71" s="18" t="s">
        <v>149</v>
      </c>
      <c r="B71" s="163">
        <v>1</v>
      </c>
      <c r="C71" s="171"/>
      <c r="D71" s="171"/>
      <c r="E71" s="171"/>
      <c r="F71" s="39"/>
      <c r="G71" s="39"/>
      <c r="H71" s="39"/>
      <c r="I71" s="39"/>
      <c r="J71" s="39"/>
      <c r="K71" s="39"/>
      <c r="L71" s="39"/>
      <c r="M71" s="39"/>
      <c r="N71" s="39"/>
      <c r="O71" s="39"/>
      <c r="P71" s="39"/>
      <c r="Q71" s="39"/>
      <c r="R71" s="39"/>
      <c r="S71" s="39"/>
      <c r="T71" s="39"/>
      <c r="U71" s="39"/>
      <c r="V71" s="39"/>
      <c r="W71" s="39"/>
      <c r="X71" s="39"/>
      <c r="Y71" s="39"/>
      <c r="Z71" s="39"/>
    </row>
    <row r="72" spans="1:26" ht="15.75">
      <c r="A72" s="18" t="s">
        <v>63</v>
      </c>
      <c r="B72" s="163">
        <v>0</v>
      </c>
      <c r="C72" s="171"/>
      <c r="D72" s="171"/>
      <c r="E72" s="171"/>
      <c r="F72" s="39"/>
      <c r="G72" s="39"/>
      <c r="H72" s="39"/>
      <c r="I72" s="39"/>
      <c r="J72" s="39"/>
      <c r="K72" s="39"/>
      <c r="L72" s="39"/>
      <c r="M72" s="39"/>
      <c r="N72" s="39"/>
      <c r="O72" s="39"/>
      <c r="P72" s="39"/>
      <c r="Q72" s="39"/>
      <c r="R72" s="39"/>
      <c r="S72" s="39"/>
      <c r="T72" s="39"/>
      <c r="U72" s="39"/>
      <c r="V72" s="39"/>
      <c r="W72" s="39"/>
      <c r="X72" s="39"/>
      <c r="Y72" s="39"/>
      <c r="Z72" s="39"/>
    </row>
    <row r="73" spans="1:26" ht="30.75">
      <c r="A73" s="18" t="s">
        <v>338</v>
      </c>
      <c r="B73" s="163">
        <v>-5</v>
      </c>
      <c r="C73" s="171"/>
      <c r="D73" s="171"/>
      <c r="E73" s="171"/>
      <c r="F73" s="39"/>
      <c r="G73" s="39"/>
      <c r="H73" s="39"/>
      <c r="I73" s="39"/>
      <c r="J73" s="39"/>
      <c r="K73" s="39"/>
      <c r="L73" s="39"/>
      <c r="M73" s="39"/>
      <c r="N73" s="39"/>
      <c r="O73" s="39"/>
      <c r="P73" s="39"/>
      <c r="Q73" s="39"/>
      <c r="R73" s="39"/>
      <c r="S73" s="39"/>
      <c r="T73" s="39"/>
      <c r="U73" s="39"/>
      <c r="V73" s="39"/>
      <c r="W73" s="39"/>
      <c r="X73" s="39"/>
      <c r="Y73" s="39"/>
      <c r="Z73" s="39"/>
    </row>
    <row r="74" spans="1:26" ht="15.75">
      <c r="A74" s="60" t="s">
        <v>151</v>
      </c>
      <c r="B74" s="46"/>
      <c r="C74" s="171"/>
      <c r="D74" s="171"/>
      <c r="E74" s="171"/>
      <c r="F74" s="39"/>
      <c r="G74" s="39"/>
      <c r="H74" s="39"/>
      <c r="I74" s="39"/>
      <c r="J74" s="39"/>
      <c r="K74" s="39"/>
      <c r="L74" s="39"/>
      <c r="M74" s="39"/>
      <c r="N74" s="39"/>
      <c r="O74" s="39"/>
      <c r="P74" s="39"/>
      <c r="Q74" s="39"/>
      <c r="R74" s="39"/>
      <c r="S74" s="39"/>
      <c r="T74" s="39"/>
      <c r="U74" s="39"/>
      <c r="V74" s="39"/>
      <c r="W74" s="39"/>
      <c r="X74" s="39"/>
      <c r="Y74" s="39"/>
      <c r="Z74" s="39"/>
    </row>
    <row r="75" spans="1:26" ht="15.75">
      <c r="A75" s="62" t="s">
        <v>152</v>
      </c>
      <c r="B75" s="46">
        <v>5</v>
      </c>
      <c r="C75" s="171"/>
      <c r="D75" s="171"/>
      <c r="E75" s="171"/>
      <c r="F75" s="39"/>
      <c r="G75" s="39"/>
      <c r="H75" s="39"/>
      <c r="I75" s="39"/>
      <c r="J75" s="39"/>
      <c r="K75" s="39"/>
      <c r="L75" s="39"/>
      <c r="M75" s="39"/>
      <c r="N75" s="39"/>
      <c r="O75" s="39"/>
      <c r="P75" s="39"/>
      <c r="Q75" s="39"/>
      <c r="R75" s="39"/>
      <c r="S75" s="39"/>
      <c r="T75" s="39"/>
      <c r="U75" s="39"/>
      <c r="V75" s="39"/>
      <c r="W75" s="39"/>
      <c r="X75" s="39"/>
      <c r="Y75" s="39"/>
      <c r="Z75" s="39"/>
    </row>
    <row r="76" spans="1:26" ht="15.75">
      <c r="A76" s="62" t="s">
        <v>153</v>
      </c>
      <c r="B76" s="54">
        <v>0</v>
      </c>
      <c r="C76" s="171"/>
      <c r="D76" s="171"/>
      <c r="E76" s="171"/>
      <c r="F76" s="39"/>
      <c r="G76" s="39"/>
      <c r="H76" s="39"/>
      <c r="I76" s="39"/>
      <c r="J76" s="39"/>
      <c r="K76" s="39"/>
      <c r="L76" s="39"/>
      <c r="M76" s="39"/>
      <c r="N76" s="39"/>
      <c r="O76" s="39"/>
      <c r="P76" s="39"/>
      <c r="Q76" s="39"/>
      <c r="R76" s="39"/>
      <c r="S76" s="39"/>
      <c r="T76" s="39"/>
      <c r="U76" s="39"/>
      <c r="V76" s="39"/>
      <c r="W76" s="39"/>
      <c r="X76" s="39"/>
      <c r="Y76" s="39"/>
      <c r="Z76" s="39"/>
    </row>
    <row r="77" spans="1:26" ht="15.75">
      <c r="A77" s="17" t="s">
        <v>154</v>
      </c>
      <c r="B77" s="66"/>
      <c r="C77" s="171"/>
      <c r="D77" s="171"/>
      <c r="E77" s="171"/>
      <c r="F77" s="39"/>
      <c r="G77" s="39"/>
      <c r="H77" s="39"/>
      <c r="I77" s="39"/>
      <c r="J77" s="39"/>
      <c r="K77" s="39"/>
      <c r="L77" s="39"/>
      <c r="M77" s="39"/>
      <c r="N77" s="39"/>
      <c r="O77" s="39"/>
      <c r="P77" s="39"/>
      <c r="Q77" s="39"/>
      <c r="R77" s="39"/>
      <c r="S77" s="39"/>
      <c r="T77" s="39"/>
      <c r="U77" s="39"/>
      <c r="V77" s="39"/>
      <c r="W77" s="39"/>
      <c r="X77" s="39"/>
      <c r="Y77" s="39"/>
      <c r="Z77" s="39"/>
    </row>
    <row r="78" spans="1:26" ht="15.75">
      <c r="A78" s="173" t="s">
        <v>68</v>
      </c>
      <c r="B78" s="161">
        <f>SUM(B80,B85,B90,B93,B96,B100)</f>
        <v>40</v>
      </c>
      <c r="C78" s="172"/>
      <c r="D78" s="172"/>
      <c r="E78" s="172"/>
      <c r="F78" s="39"/>
      <c r="G78" s="39"/>
      <c r="H78" s="39"/>
      <c r="I78" s="39"/>
      <c r="J78" s="39"/>
      <c r="K78" s="39"/>
      <c r="L78" s="39"/>
      <c r="M78" s="39"/>
      <c r="N78" s="39"/>
      <c r="O78" s="39"/>
      <c r="P78" s="39"/>
      <c r="Q78" s="39"/>
      <c r="R78" s="39"/>
      <c r="S78" s="39"/>
      <c r="T78" s="39"/>
      <c r="U78" s="39"/>
      <c r="V78" s="39"/>
      <c r="W78" s="39"/>
      <c r="X78" s="39"/>
      <c r="Y78" s="39"/>
      <c r="Z78" s="39"/>
    </row>
    <row r="79" spans="1:26" ht="31.5">
      <c r="A79" s="160" t="s">
        <v>339</v>
      </c>
      <c r="B79" s="171"/>
      <c r="C79" s="171"/>
      <c r="D79" s="171"/>
      <c r="E79" s="171"/>
      <c r="F79" s="39"/>
      <c r="G79" s="39"/>
      <c r="H79" s="39"/>
      <c r="I79" s="39"/>
      <c r="J79" s="39"/>
      <c r="K79" s="39"/>
      <c r="L79" s="39"/>
      <c r="M79" s="39"/>
      <c r="N79" s="39"/>
      <c r="O79" s="39"/>
      <c r="P79" s="39"/>
      <c r="Q79" s="39"/>
      <c r="R79" s="39"/>
      <c r="S79" s="39"/>
      <c r="T79" s="39"/>
      <c r="U79" s="39"/>
      <c r="V79" s="39"/>
      <c r="W79" s="39"/>
      <c r="X79" s="39"/>
      <c r="Y79" s="39"/>
      <c r="Z79" s="39"/>
    </row>
    <row r="80" spans="1:26" ht="15.75">
      <c r="A80" s="18" t="s">
        <v>74</v>
      </c>
      <c r="B80" s="153">
        <v>8</v>
      </c>
      <c r="C80" s="171"/>
      <c r="D80" s="171"/>
      <c r="E80" s="171"/>
      <c r="F80" s="39"/>
      <c r="G80" s="39"/>
      <c r="H80" s="39"/>
      <c r="I80" s="39"/>
      <c r="J80" s="39"/>
      <c r="K80" s="39"/>
      <c r="L80" s="39"/>
      <c r="M80" s="39"/>
      <c r="N80" s="39"/>
      <c r="O80" s="39"/>
      <c r="P80" s="39"/>
      <c r="Q80" s="39"/>
      <c r="R80" s="39"/>
      <c r="S80" s="39"/>
      <c r="T80" s="39"/>
      <c r="U80" s="39"/>
      <c r="V80" s="39"/>
      <c r="W80" s="39"/>
      <c r="X80" s="39"/>
      <c r="Y80" s="39"/>
      <c r="Z80" s="39"/>
    </row>
    <row r="81" spans="1:26" ht="15.75">
      <c r="A81" s="18" t="s">
        <v>156</v>
      </c>
      <c r="B81" s="163">
        <v>3</v>
      </c>
      <c r="C81" s="171"/>
      <c r="D81" s="171"/>
      <c r="E81" s="171"/>
      <c r="F81" s="39"/>
      <c r="G81" s="39"/>
      <c r="H81" s="39"/>
      <c r="I81" s="39"/>
      <c r="J81" s="39"/>
      <c r="K81" s="39"/>
      <c r="L81" s="39"/>
      <c r="M81" s="39"/>
      <c r="N81" s="39"/>
      <c r="O81" s="39"/>
      <c r="P81" s="39"/>
      <c r="Q81" s="39"/>
      <c r="R81" s="39"/>
      <c r="S81" s="39"/>
      <c r="T81" s="39"/>
      <c r="U81" s="39"/>
      <c r="V81" s="39"/>
      <c r="W81" s="39"/>
      <c r="X81" s="39"/>
      <c r="Y81" s="39"/>
      <c r="Z81" s="39"/>
    </row>
    <row r="82" spans="1:26" ht="15.75">
      <c r="A82" s="18" t="s">
        <v>157</v>
      </c>
      <c r="B82" s="163">
        <v>2</v>
      </c>
      <c r="C82" s="171"/>
      <c r="D82" s="171"/>
      <c r="E82" s="171"/>
      <c r="F82" s="39"/>
      <c r="G82" s="39"/>
      <c r="H82" s="39"/>
      <c r="I82" s="39"/>
      <c r="J82" s="39"/>
      <c r="K82" s="39"/>
      <c r="L82" s="39"/>
      <c r="M82" s="39"/>
      <c r="N82" s="39"/>
      <c r="O82" s="39"/>
      <c r="P82" s="39"/>
      <c r="Q82" s="39"/>
      <c r="R82" s="39"/>
      <c r="S82" s="39"/>
      <c r="T82" s="39"/>
      <c r="U82" s="39"/>
      <c r="V82" s="39"/>
      <c r="W82" s="39"/>
      <c r="X82" s="39"/>
      <c r="Y82" s="39"/>
      <c r="Z82" s="39"/>
    </row>
    <row r="83" spans="1:26" ht="15.75">
      <c r="A83" s="174" t="s">
        <v>158</v>
      </c>
      <c r="B83" s="163">
        <v>-5</v>
      </c>
      <c r="C83" s="171"/>
      <c r="D83" s="171"/>
      <c r="E83" s="171"/>
      <c r="F83" s="39"/>
      <c r="G83" s="39"/>
      <c r="H83" s="39"/>
      <c r="I83" s="39"/>
      <c r="J83" s="39"/>
      <c r="K83" s="39"/>
      <c r="L83" s="39"/>
      <c r="M83" s="39"/>
      <c r="N83" s="39"/>
      <c r="O83" s="39"/>
      <c r="P83" s="39"/>
      <c r="Q83" s="39"/>
      <c r="R83" s="39"/>
      <c r="S83" s="39"/>
      <c r="T83" s="39"/>
      <c r="U83" s="39"/>
      <c r="V83" s="39"/>
      <c r="W83" s="39"/>
      <c r="X83" s="39"/>
      <c r="Y83" s="39"/>
      <c r="Z83" s="39"/>
    </row>
    <row r="84" spans="1:26" ht="15.75">
      <c r="A84" s="160" t="s">
        <v>340</v>
      </c>
      <c r="B84" s="171"/>
      <c r="C84" s="171"/>
      <c r="D84" s="171"/>
      <c r="E84" s="171"/>
      <c r="F84" s="39"/>
      <c r="G84" s="39"/>
      <c r="H84" s="39"/>
      <c r="I84" s="39"/>
      <c r="J84" s="39"/>
      <c r="K84" s="39"/>
      <c r="L84" s="39"/>
      <c r="M84" s="39"/>
      <c r="N84" s="39"/>
      <c r="O84" s="39"/>
      <c r="P84" s="39"/>
      <c r="Q84" s="39"/>
      <c r="R84" s="39"/>
      <c r="S84" s="39"/>
      <c r="T84" s="39"/>
      <c r="U84" s="39"/>
      <c r="V84" s="39"/>
      <c r="W84" s="39"/>
      <c r="X84" s="39"/>
      <c r="Y84" s="39"/>
      <c r="Z84" s="39"/>
    </row>
    <row r="85" spans="1:26" ht="15.75">
      <c r="A85" s="18" t="s">
        <v>341</v>
      </c>
      <c r="B85" s="153">
        <v>10</v>
      </c>
      <c r="C85" s="171"/>
      <c r="D85" s="171"/>
      <c r="E85" s="171"/>
      <c r="F85" s="39"/>
      <c r="G85" s="39"/>
      <c r="H85" s="39"/>
      <c r="I85" s="39"/>
      <c r="J85" s="39"/>
      <c r="K85" s="39"/>
      <c r="L85" s="39"/>
      <c r="M85" s="39"/>
      <c r="N85" s="39"/>
      <c r="O85" s="39"/>
      <c r="P85" s="39"/>
      <c r="Q85" s="39"/>
      <c r="R85" s="39"/>
      <c r="S85" s="39"/>
      <c r="T85" s="39"/>
      <c r="U85" s="39"/>
      <c r="V85" s="39"/>
      <c r="W85" s="39"/>
      <c r="X85" s="39"/>
      <c r="Y85" s="39"/>
      <c r="Z85" s="39"/>
    </row>
    <row r="86" spans="1:26" ht="15.75">
      <c r="A86" s="18" t="s">
        <v>342</v>
      </c>
      <c r="B86" s="153">
        <v>8</v>
      </c>
      <c r="C86" s="171"/>
      <c r="D86" s="171"/>
      <c r="E86" s="171"/>
      <c r="F86" s="39"/>
      <c r="G86" s="39"/>
      <c r="H86" s="39"/>
      <c r="I86" s="39"/>
      <c r="J86" s="39"/>
      <c r="K86" s="39"/>
      <c r="L86" s="39"/>
      <c r="M86" s="39"/>
      <c r="N86" s="39"/>
      <c r="O86" s="39"/>
      <c r="P86" s="39"/>
      <c r="Q86" s="39"/>
      <c r="R86" s="39"/>
      <c r="S86" s="39"/>
      <c r="T86" s="39"/>
      <c r="U86" s="39"/>
      <c r="V86" s="39"/>
      <c r="W86" s="39"/>
      <c r="X86" s="39"/>
      <c r="Y86" s="39"/>
      <c r="Z86" s="39"/>
    </row>
    <row r="87" spans="1:26" ht="15.75">
      <c r="A87" s="18" t="s">
        <v>343</v>
      </c>
      <c r="B87" s="163">
        <v>5</v>
      </c>
      <c r="C87" s="171"/>
      <c r="D87" s="171"/>
      <c r="E87" s="171"/>
      <c r="F87" s="39"/>
      <c r="G87" s="39"/>
      <c r="H87" s="39"/>
      <c r="I87" s="39"/>
      <c r="J87" s="39"/>
      <c r="K87" s="39"/>
      <c r="L87" s="39"/>
      <c r="M87" s="39"/>
      <c r="N87" s="39"/>
      <c r="O87" s="39"/>
      <c r="P87" s="39"/>
      <c r="Q87" s="39"/>
      <c r="R87" s="39"/>
      <c r="S87" s="39"/>
      <c r="T87" s="39"/>
      <c r="U87" s="39"/>
      <c r="V87" s="39"/>
      <c r="W87" s="39"/>
      <c r="X87" s="39"/>
      <c r="Y87" s="39"/>
      <c r="Z87" s="39"/>
    </row>
    <row r="88" spans="1:26" ht="15.75">
      <c r="A88" s="18" t="s">
        <v>160</v>
      </c>
      <c r="B88" s="163">
        <v>0</v>
      </c>
      <c r="C88" s="171"/>
      <c r="D88" s="171"/>
      <c r="E88" s="171"/>
      <c r="F88" s="39"/>
      <c r="G88" s="39"/>
      <c r="H88" s="39"/>
      <c r="I88" s="39"/>
      <c r="J88" s="39"/>
      <c r="K88" s="39"/>
      <c r="L88" s="39"/>
      <c r="M88" s="39"/>
      <c r="N88" s="39"/>
      <c r="O88" s="39"/>
      <c r="P88" s="39"/>
      <c r="Q88" s="39"/>
      <c r="R88" s="39"/>
      <c r="S88" s="39"/>
      <c r="T88" s="39"/>
      <c r="U88" s="39"/>
      <c r="V88" s="39"/>
      <c r="W88" s="39"/>
      <c r="X88" s="39"/>
      <c r="Y88" s="39"/>
      <c r="Z88" s="39"/>
    </row>
    <row r="89" spans="1:26" ht="15.75">
      <c r="A89" s="159" t="s">
        <v>81</v>
      </c>
      <c r="B89" s="171"/>
      <c r="C89" s="171"/>
      <c r="D89" s="171"/>
      <c r="E89" s="171"/>
      <c r="F89" s="39"/>
      <c r="G89" s="39"/>
      <c r="H89" s="39"/>
      <c r="I89" s="39"/>
      <c r="J89" s="39"/>
      <c r="K89" s="39"/>
      <c r="L89" s="39"/>
      <c r="M89" s="39"/>
      <c r="N89" s="39"/>
      <c r="O89" s="39"/>
      <c r="P89" s="39"/>
      <c r="Q89" s="39"/>
      <c r="R89" s="39"/>
      <c r="S89" s="39"/>
      <c r="T89" s="39"/>
      <c r="U89" s="39"/>
      <c r="V89" s="39"/>
      <c r="W89" s="39"/>
      <c r="X89" s="39"/>
      <c r="Y89" s="39"/>
      <c r="Z89" s="39"/>
    </row>
    <row r="90" spans="1:26" ht="31.5">
      <c r="A90" s="18" t="s">
        <v>161</v>
      </c>
      <c r="B90" s="153">
        <v>3</v>
      </c>
      <c r="C90" s="171"/>
      <c r="D90" s="171"/>
      <c r="E90" s="171"/>
      <c r="F90" s="39"/>
      <c r="G90" s="39"/>
      <c r="H90" s="39"/>
      <c r="I90" s="39"/>
      <c r="J90" s="39"/>
      <c r="K90" s="39"/>
      <c r="L90" s="39"/>
      <c r="M90" s="39"/>
      <c r="N90" s="39"/>
      <c r="O90" s="39"/>
      <c r="P90" s="39"/>
      <c r="Q90" s="39"/>
      <c r="R90" s="39"/>
      <c r="S90" s="39"/>
      <c r="T90" s="39"/>
      <c r="U90" s="39"/>
      <c r="V90" s="39"/>
      <c r="W90" s="39"/>
      <c r="X90" s="39"/>
      <c r="Y90" s="39"/>
      <c r="Z90" s="39"/>
    </row>
    <row r="91" spans="1:26" ht="15.75">
      <c r="A91" s="18" t="s">
        <v>162</v>
      </c>
      <c r="B91" s="163">
        <v>0</v>
      </c>
      <c r="C91" s="171"/>
      <c r="D91" s="171"/>
      <c r="E91" s="171"/>
      <c r="F91" s="39"/>
      <c r="G91" s="39"/>
      <c r="H91" s="39"/>
      <c r="I91" s="39"/>
      <c r="J91" s="39"/>
      <c r="K91" s="39"/>
      <c r="L91" s="39"/>
      <c r="M91" s="39"/>
      <c r="N91" s="39"/>
      <c r="O91" s="39"/>
      <c r="P91" s="39"/>
      <c r="Q91" s="39"/>
      <c r="R91" s="39"/>
      <c r="S91" s="39"/>
      <c r="T91" s="39"/>
      <c r="U91" s="39"/>
      <c r="V91" s="39"/>
      <c r="W91" s="39"/>
      <c r="X91" s="39"/>
      <c r="Y91" s="39"/>
      <c r="Z91" s="39"/>
    </row>
    <row r="92" spans="1:26" ht="15.75" customHeight="1">
      <c r="A92" s="158" t="s">
        <v>344</v>
      </c>
      <c r="B92" s="66"/>
      <c r="C92" s="67"/>
      <c r="D92" s="67"/>
      <c r="E92" s="67"/>
    </row>
    <row r="93" spans="1:26" ht="21.75" customHeight="1">
      <c r="A93" s="17" t="s">
        <v>178</v>
      </c>
      <c r="B93" s="67">
        <v>5</v>
      </c>
      <c r="C93" s="67"/>
      <c r="D93" s="67"/>
      <c r="E93" s="67"/>
    </row>
    <row r="94" spans="1:26" ht="21.75" customHeight="1">
      <c r="A94" s="17" t="s">
        <v>179</v>
      </c>
      <c r="B94" s="66">
        <v>0</v>
      </c>
      <c r="C94" s="67"/>
      <c r="D94" s="67"/>
      <c r="E94" s="67"/>
    </row>
    <row r="95" spans="1:26" ht="15.75" customHeight="1">
      <c r="A95" s="158" t="s">
        <v>345</v>
      </c>
      <c r="B95" s="69"/>
      <c r="C95" s="67"/>
      <c r="D95" s="67"/>
      <c r="E95" s="67"/>
    </row>
    <row r="96" spans="1:26" ht="15.75" customHeight="1">
      <c r="A96" s="17" t="s">
        <v>181</v>
      </c>
      <c r="B96" s="67">
        <v>7</v>
      </c>
      <c r="C96" s="67"/>
      <c r="D96" s="67"/>
      <c r="E96" s="67"/>
    </row>
    <row r="97" spans="1:26" ht="15.75" customHeight="1">
      <c r="A97" s="17" t="s">
        <v>87</v>
      </c>
      <c r="B97" s="66">
        <v>3</v>
      </c>
      <c r="C97" s="67"/>
      <c r="D97" s="67"/>
      <c r="E97" s="67"/>
    </row>
    <row r="98" spans="1:26" ht="15.75" customHeight="1">
      <c r="A98" s="17" t="s">
        <v>88</v>
      </c>
      <c r="B98" s="66">
        <v>0</v>
      </c>
      <c r="C98" s="67"/>
      <c r="D98" s="67"/>
      <c r="E98" s="67"/>
    </row>
    <row r="99" spans="1:26" ht="15.75" customHeight="1">
      <c r="A99" s="64" t="s">
        <v>182</v>
      </c>
      <c r="B99" s="166"/>
      <c r="C99" s="67"/>
      <c r="D99" s="67"/>
      <c r="E99" s="67"/>
    </row>
    <row r="100" spans="1:26" ht="15.75" customHeight="1">
      <c r="A100" s="65" t="s">
        <v>183</v>
      </c>
      <c r="B100" s="166">
        <v>7</v>
      </c>
      <c r="C100" s="67"/>
      <c r="D100" s="67"/>
      <c r="E100" s="67"/>
    </row>
    <row r="101" spans="1:26" ht="15.75" customHeight="1">
      <c r="A101" s="65" t="s">
        <v>184</v>
      </c>
      <c r="B101" s="166">
        <v>5</v>
      </c>
      <c r="C101" s="67"/>
      <c r="D101" s="67"/>
      <c r="E101" s="67"/>
    </row>
    <row r="102" spans="1:26" ht="15.75" customHeight="1">
      <c r="A102" s="65" t="s">
        <v>185</v>
      </c>
      <c r="B102" s="166">
        <v>0</v>
      </c>
      <c r="C102" s="67"/>
      <c r="D102" s="67"/>
      <c r="E102" s="67"/>
    </row>
    <row r="103" spans="1:26" ht="15.75" customHeight="1">
      <c r="A103" s="167"/>
      <c r="B103" s="168"/>
      <c r="C103" s="169"/>
      <c r="D103" s="169"/>
      <c r="E103" s="169"/>
    </row>
    <row r="104" spans="1:26" ht="15.75" customHeight="1">
      <c r="A104" s="170" t="s">
        <v>89</v>
      </c>
      <c r="B104" s="170">
        <f>SUM(B78,B60,B50,B12)</f>
        <v>100</v>
      </c>
      <c r="C104" s="69"/>
      <c r="D104" s="69"/>
      <c r="E104" s="6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75" customHeight="1">
      <c r="A105" s="70"/>
      <c r="B105" s="71"/>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15.75" customHeight="1">
      <c r="A106" s="72"/>
      <c r="B106" s="73"/>
      <c r="C106" s="74">
        <f t="shared" ref="C106:E106" si="0">SUM(C24:C105)</f>
        <v>0</v>
      </c>
      <c r="D106" s="74">
        <f t="shared" si="0"/>
        <v>0</v>
      </c>
      <c r="E106" s="74">
        <f t="shared" si="0"/>
        <v>0</v>
      </c>
      <c r="F106" s="39"/>
      <c r="G106" s="39"/>
      <c r="H106" s="39"/>
      <c r="I106" s="39"/>
      <c r="J106" s="39"/>
      <c r="K106" s="39"/>
      <c r="L106" s="39"/>
      <c r="M106" s="39"/>
      <c r="N106" s="39"/>
      <c r="O106" s="39"/>
      <c r="P106" s="39"/>
      <c r="Q106" s="39"/>
      <c r="R106" s="39"/>
      <c r="S106" s="39"/>
      <c r="T106" s="39"/>
      <c r="U106" s="39"/>
      <c r="V106" s="39"/>
      <c r="W106" s="39"/>
      <c r="X106" s="39"/>
      <c r="Y106" s="39"/>
      <c r="Z106" s="39"/>
    </row>
    <row r="107" spans="1:26" ht="15.75" customHeight="1">
      <c r="A107" s="272" t="s">
        <v>186</v>
      </c>
      <c r="B107" s="263"/>
      <c r="C107" s="263"/>
      <c r="D107" s="263"/>
      <c r="E107" s="264"/>
      <c r="F107" s="75"/>
      <c r="G107" s="75"/>
      <c r="H107" s="39"/>
      <c r="I107" s="39"/>
      <c r="J107" s="39"/>
      <c r="K107" s="39"/>
      <c r="L107" s="39"/>
      <c r="M107" s="39"/>
      <c r="N107" s="39"/>
      <c r="O107" s="39"/>
      <c r="P107" s="39"/>
      <c r="Q107" s="39"/>
      <c r="R107" s="39"/>
      <c r="S107" s="39"/>
      <c r="T107" s="39"/>
      <c r="U107" s="39"/>
      <c r="V107" s="39"/>
      <c r="W107" s="39"/>
      <c r="X107" s="39"/>
      <c r="Y107" s="39"/>
      <c r="Z107" s="39"/>
    </row>
    <row r="108" spans="1:26" ht="15.75">
      <c r="A108" s="40"/>
      <c r="B108" s="39"/>
      <c r="C108" s="39"/>
      <c r="D108" s="39"/>
      <c r="E108" s="40"/>
      <c r="F108" s="39"/>
      <c r="G108" s="39"/>
      <c r="H108" s="39"/>
      <c r="I108" s="39"/>
      <c r="J108" s="39"/>
      <c r="K108" s="39"/>
      <c r="L108" s="39"/>
      <c r="M108" s="39"/>
      <c r="N108" s="39"/>
      <c r="O108" s="39"/>
      <c r="P108" s="39"/>
      <c r="Q108" s="39"/>
      <c r="R108" s="39"/>
      <c r="S108" s="39"/>
      <c r="T108" s="39"/>
      <c r="U108" s="39"/>
      <c r="V108" s="39"/>
      <c r="W108" s="39"/>
      <c r="X108" s="39"/>
      <c r="Y108" s="39"/>
      <c r="Z108" s="39"/>
    </row>
    <row r="109" spans="1:26" ht="15.75">
      <c r="A109" s="76" t="s">
        <v>346</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75">
      <c r="A110" s="76"/>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75">
      <c r="A111" s="77" t="s">
        <v>347</v>
      </c>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7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7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7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7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7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7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7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ht="15.75">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ht="15.75">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sheetData>
  <mergeCells count="6">
    <mergeCell ref="A107:E107"/>
    <mergeCell ref="A2:E2"/>
    <mergeCell ref="A3:E3"/>
    <mergeCell ref="A4:E4"/>
    <mergeCell ref="A10:A11"/>
    <mergeCell ref="C10:E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93"/>
  <sheetViews>
    <sheetView workbookViewId="0"/>
  </sheetViews>
  <sheetFormatPr defaultColWidth="11.25" defaultRowHeight="15" customHeight="1"/>
  <cols>
    <col min="1" max="1" width="46.125" customWidth="1"/>
    <col min="2" max="5" width="10.5" customWidth="1"/>
    <col min="6" max="6" width="35" customWidth="1"/>
    <col min="7" max="26" width="10.5" customWidth="1"/>
  </cols>
  <sheetData>
    <row r="1" spans="1:5" ht="15.75" customHeight="1">
      <c r="A1" s="1" t="s">
        <v>0</v>
      </c>
    </row>
    <row r="2" spans="1:5" ht="15.75" customHeight="1">
      <c r="A2" s="2"/>
    </row>
    <row r="3" spans="1:5" ht="15.75" customHeight="1">
      <c r="A3" s="246" t="s">
        <v>348</v>
      </c>
      <c r="B3" s="247"/>
      <c r="C3" s="247"/>
      <c r="D3" s="247"/>
      <c r="E3" s="247"/>
    </row>
    <row r="4" spans="1:5" ht="15.75" customHeight="1">
      <c r="A4" s="248" t="s">
        <v>2</v>
      </c>
      <c r="B4" s="247"/>
      <c r="C4" s="247"/>
      <c r="D4" s="247"/>
      <c r="E4" s="247"/>
    </row>
    <row r="5" spans="1:5" ht="15.75" customHeight="1">
      <c r="A5" s="2"/>
    </row>
    <row r="6" spans="1:5" ht="15.75" customHeight="1">
      <c r="A6" s="3" t="s">
        <v>3</v>
      </c>
    </row>
    <row r="7" spans="1:5" ht="15.75" customHeight="1">
      <c r="A7" s="3" t="s">
        <v>4</v>
      </c>
    </row>
    <row r="8" spans="1:5" ht="15.75" customHeight="1">
      <c r="A8" s="3" t="s">
        <v>5</v>
      </c>
    </row>
    <row r="9" spans="1:5" ht="15.75" customHeight="1">
      <c r="A9" s="3" t="s">
        <v>6</v>
      </c>
    </row>
    <row r="10" spans="1:5" ht="33" customHeight="1">
      <c r="A10" s="249" t="s">
        <v>7</v>
      </c>
      <c r="B10" s="4"/>
      <c r="C10" s="251" t="s">
        <v>8</v>
      </c>
      <c r="D10" s="252"/>
      <c r="E10" s="253"/>
    </row>
    <row r="11" spans="1:5" ht="15.75" customHeight="1">
      <c r="A11" s="250"/>
      <c r="B11" s="5" t="s">
        <v>9</v>
      </c>
      <c r="C11" s="5" t="s">
        <v>10</v>
      </c>
      <c r="D11" s="5" t="s">
        <v>11</v>
      </c>
      <c r="E11" s="5" t="s">
        <v>12</v>
      </c>
    </row>
    <row r="12" spans="1:5" ht="15.75" customHeight="1">
      <c r="A12" s="6" t="s">
        <v>349</v>
      </c>
      <c r="B12" s="7">
        <v>90</v>
      </c>
      <c r="C12" s="8"/>
      <c r="D12" s="8"/>
      <c r="E12" s="8"/>
    </row>
    <row r="13" spans="1:5" ht="42" customHeight="1">
      <c r="A13" s="9" t="s">
        <v>350</v>
      </c>
      <c r="B13" s="10"/>
      <c r="C13" s="11"/>
      <c r="D13" s="11"/>
      <c r="E13" s="11"/>
    </row>
    <row r="14" spans="1:5" ht="16.5" customHeight="1">
      <c r="A14" s="12" t="s">
        <v>14</v>
      </c>
      <c r="B14" s="10" t="s">
        <v>15</v>
      </c>
      <c r="C14" s="13"/>
      <c r="D14" s="13"/>
      <c r="E14" s="13"/>
    </row>
    <row r="15" spans="1:5" ht="16.5" customHeight="1">
      <c r="A15" s="12" t="s">
        <v>303</v>
      </c>
      <c r="B15" s="10">
        <v>7</v>
      </c>
      <c r="C15" s="13"/>
      <c r="D15" s="13"/>
      <c r="E15" s="13"/>
    </row>
    <row r="16" spans="1:5" ht="16.5" customHeight="1">
      <c r="A16" s="12" t="s">
        <v>304</v>
      </c>
      <c r="B16" s="10">
        <v>5</v>
      </c>
      <c r="C16" s="13"/>
      <c r="D16" s="13"/>
      <c r="E16" s="13"/>
    </row>
    <row r="17" spans="1:6" ht="15.75" customHeight="1">
      <c r="A17" s="26" t="s">
        <v>351</v>
      </c>
      <c r="B17" s="14">
        <v>0</v>
      </c>
      <c r="C17" s="13"/>
      <c r="D17" s="13"/>
      <c r="E17" s="13"/>
    </row>
    <row r="18" spans="1:6" ht="87" customHeight="1">
      <c r="A18" s="9" t="s">
        <v>352</v>
      </c>
      <c r="B18" s="15"/>
      <c r="C18" s="16"/>
      <c r="D18" s="16"/>
      <c r="E18" s="16"/>
      <c r="F18" s="175" t="s">
        <v>353</v>
      </c>
    </row>
    <row r="19" spans="1:6" ht="15.75" customHeight="1">
      <c r="A19" s="12" t="s">
        <v>20</v>
      </c>
      <c r="B19" s="10" t="s">
        <v>15</v>
      </c>
      <c r="C19" s="9"/>
      <c r="D19" s="9"/>
      <c r="E19" s="9"/>
    </row>
    <row r="20" spans="1:6" ht="19.5" customHeight="1">
      <c r="A20" s="12" t="s">
        <v>354</v>
      </c>
      <c r="B20" s="10">
        <v>7</v>
      </c>
      <c r="C20" s="9"/>
      <c r="D20" s="9"/>
      <c r="E20" s="9"/>
    </row>
    <row r="21" spans="1:6" ht="33" customHeight="1">
      <c r="A21" s="12" t="s">
        <v>355</v>
      </c>
      <c r="B21" s="10">
        <v>5</v>
      </c>
      <c r="C21" s="9"/>
      <c r="D21" s="9"/>
      <c r="E21" s="9"/>
    </row>
    <row r="22" spans="1:6" ht="31.5" customHeight="1">
      <c r="A22" s="12" t="s">
        <v>356</v>
      </c>
      <c r="B22" s="10">
        <v>0</v>
      </c>
      <c r="C22" s="9"/>
      <c r="D22" s="9"/>
      <c r="E22" s="9"/>
    </row>
    <row r="23" spans="1:6" ht="15.75" customHeight="1">
      <c r="A23" s="16" t="s">
        <v>357</v>
      </c>
      <c r="B23" s="176"/>
      <c r="C23" s="16"/>
      <c r="D23" s="16"/>
      <c r="E23" s="16"/>
    </row>
    <row r="24" spans="1:6" ht="15.75" customHeight="1">
      <c r="A24" s="12" t="s">
        <v>26</v>
      </c>
      <c r="B24" s="10" t="s">
        <v>15</v>
      </c>
      <c r="C24" s="9"/>
      <c r="D24" s="9"/>
      <c r="E24" s="9"/>
    </row>
    <row r="25" spans="1:6" ht="15.75" customHeight="1">
      <c r="A25" s="12" t="s">
        <v>358</v>
      </c>
      <c r="B25" s="10">
        <v>7</v>
      </c>
      <c r="C25" s="9"/>
      <c r="D25" s="9"/>
      <c r="E25" s="9"/>
    </row>
    <row r="26" spans="1:6" ht="15.75" customHeight="1">
      <c r="A26" s="12" t="s">
        <v>359</v>
      </c>
      <c r="B26" s="10">
        <v>5</v>
      </c>
      <c r="C26" s="9"/>
      <c r="D26" s="9"/>
      <c r="E26" s="9"/>
    </row>
    <row r="27" spans="1:6" ht="15.75" customHeight="1">
      <c r="A27" s="26" t="s">
        <v>360</v>
      </c>
      <c r="B27" s="14">
        <v>0</v>
      </c>
      <c r="C27" s="25"/>
      <c r="D27" s="25"/>
      <c r="E27" s="25"/>
    </row>
    <row r="28" spans="1:6" ht="15.75" customHeight="1">
      <c r="A28" s="22" t="s">
        <v>30</v>
      </c>
      <c r="B28" s="10"/>
      <c r="C28" s="9"/>
      <c r="D28" s="9"/>
      <c r="E28" s="9"/>
    </row>
    <row r="29" spans="1:6" ht="15.75" customHeight="1">
      <c r="A29" s="23" t="s">
        <v>31</v>
      </c>
      <c r="B29" s="10">
        <v>10</v>
      </c>
      <c r="C29" s="9"/>
      <c r="D29" s="9"/>
      <c r="E29" s="9"/>
    </row>
    <row r="30" spans="1:6" ht="15.75" customHeight="1">
      <c r="A30" s="23" t="s">
        <v>32</v>
      </c>
      <c r="B30" s="10">
        <v>5</v>
      </c>
      <c r="C30" s="9"/>
      <c r="D30" s="9"/>
      <c r="E30" s="9"/>
    </row>
    <row r="31" spans="1:6" ht="15.75" customHeight="1">
      <c r="A31" s="24" t="s">
        <v>33</v>
      </c>
      <c r="B31" s="14">
        <v>0</v>
      </c>
      <c r="C31" s="25"/>
      <c r="D31" s="25"/>
      <c r="E31" s="25"/>
    </row>
    <row r="32" spans="1:6" ht="15.75" customHeight="1">
      <c r="A32" s="177" t="s">
        <v>34</v>
      </c>
      <c r="B32" s="178"/>
      <c r="C32" s="16"/>
      <c r="D32" s="16"/>
      <c r="E32" s="16"/>
    </row>
    <row r="33" spans="1:5" ht="15.75" customHeight="1">
      <c r="A33" s="12" t="s">
        <v>35</v>
      </c>
      <c r="B33" s="10" t="s">
        <v>15</v>
      </c>
      <c r="C33" s="9"/>
      <c r="D33" s="9"/>
      <c r="E33" s="9"/>
    </row>
    <row r="34" spans="1:5" ht="15.75" customHeight="1">
      <c r="A34" s="12" t="s">
        <v>361</v>
      </c>
      <c r="B34" s="10">
        <v>7</v>
      </c>
      <c r="C34" s="9"/>
      <c r="D34" s="9"/>
      <c r="E34" s="9"/>
    </row>
    <row r="35" spans="1:5" ht="15.75" customHeight="1">
      <c r="A35" s="12" t="s">
        <v>111</v>
      </c>
      <c r="B35" s="10">
        <v>5</v>
      </c>
      <c r="C35" s="9"/>
      <c r="D35" s="9"/>
      <c r="E35" s="9"/>
    </row>
    <row r="36" spans="1:5" ht="15.75" customHeight="1">
      <c r="A36" s="24" t="s">
        <v>362</v>
      </c>
      <c r="B36" s="14">
        <v>0</v>
      </c>
      <c r="C36" s="25"/>
      <c r="D36" s="25"/>
      <c r="E36" s="25"/>
    </row>
    <row r="37" spans="1:5" ht="15.75" customHeight="1">
      <c r="A37" s="9" t="s">
        <v>39</v>
      </c>
      <c r="B37" s="10"/>
      <c r="C37" s="16"/>
      <c r="D37" s="16"/>
      <c r="E37" s="16"/>
    </row>
    <row r="38" spans="1:5" ht="15.75" customHeight="1">
      <c r="A38" s="12" t="s">
        <v>26</v>
      </c>
      <c r="B38" s="10" t="s">
        <v>15</v>
      </c>
      <c r="C38" s="9"/>
      <c r="D38" s="9"/>
      <c r="E38" s="9"/>
    </row>
    <row r="39" spans="1:5" ht="15.75" customHeight="1">
      <c r="A39" s="12" t="s">
        <v>363</v>
      </c>
      <c r="B39" s="10">
        <v>7</v>
      </c>
      <c r="C39" s="9"/>
      <c r="D39" s="9"/>
      <c r="E39" s="9"/>
    </row>
    <row r="40" spans="1:5" ht="15.75" customHeight="1">
      <c r="A40" s="12" t="s">
        <v>364</v>
      </c>
      <c r="B40" s="10">
        <v>5</v>
      </c>
      <c r="C40" s="9"/>
      <c r="D40" s="9"/>
      <c r="E40" s="9"/>
    </row>
    <row r="41" spans="1:5" ht="15.75" customHeight="1">
      <c r="A41" s="26" t="s">
        <v>365</v>
      </c>
      <c r="B41" s="14">
        <v>0</v>
      </c>
      <c r="C41" s="25"/>
      <c r="D41" s="25"/>
      <c r="E41" s="25"/>
    </row>
    <row r="42" spans="1:5" ht="42" customHeight="1">
      <c r="A42" s="9" t="s">
        <v>366</v>
      </c>
      <c r="B42" s="10"/>
      <c r="C42" s="16"/>
      <c r="D42" s="16"/>
      <c r="E42" s="16"/>
    </row>
    <row r="43" spans="1:5" ht="15.75" customHeight="1">
      <c r="A43" s="12" t="s">
        <v>26</v>
      </c>
      <c r="B43" s="10" t="s">
        <v>15</v>
      </c>
      <c r="C43" s="9"/>
      <c r="D43" s="9"/>
      <c r="E43" s="9"/>
    </row>
    <row r="44" spans="1:5" ht="15.75" customHeight="1">
      <c r="A44" s="12" t="s">
        <v>358</v>
      </c>
      <c r="B44" s="10">
        <v>7</v>
      </c>
      <c r="C44" s="9"/>
      <c r="D44" s="9"/>
      <c r="E44" s="9"/>
    </row>
    <row r="45" spans="1:5" ht="15.75" customHeight="1">
      <c r="A45" s="12" t="s">
        <v>359</v>
      </c>
      <c r="B45" s="10">
        <v>5</v>
      </c>
      <c r="C45" s="9"/>
      <c r="D45" s="9"/>
      <c r="E45" s="9"/>
    </row>
    <row r="46" spans="1:5" ht="15.75" customHeight="1">
      <c r="A46" s="26" t="s">
        <v>365</v>
      </c>
      <c r="B46" s="14">
        <v>0</v>
      </c>
      <c r="C46" s="25"/>
      <c r="D46" s="25"/>
      <c r="E46" s="25"/>
    </row>
    <row r="47" spans="1:5" ht="15.75" customHeight="1">
      <c r="A47" s="179" t="s">
        <v>367</v>
      </c>
      <c r="B47" s="10"/>
      <c r="C47" s="16"/>
      <c r="D47" s="16"/>
      <c r="E47" s="16"/>
    </row>
    <row r="48" spans="1:5" ht="15.75" customHeight="1">
      <c r="A48" s="9" t="s">
        <v>368</v>
      </c>
      <c r="B48" s="10" t="s">
        <v>15</v>
      </c>
      <c r="C48" s="9"/>
      <c r="D48" s="9"/>
      <c r="E48" s="9"/>
    </row>
    <row r="49" spans="1:5" ht="15.75" customHeight="1">
      <c r="A49" s="9" t="s">
        <v>369</v>
      </c>
      <c r="B49" s="10">
        <v>7</v>
      </c>
      <c r="C49" s="9"/>
      <c r="D49" s="9"/>
      <c r="E49" s="9"/>
    </row>
    <row r="50" spans="1:5" ht="15.75" customHeight="1">
      <c r="A50" s="12" t="s">
        <v>370</v>
      </c>
      <c r="B50" s="10">
        <v>5</v>
      </c>
      <c r="C50" s="9"/>
      <c r="D50" s="9"/>
      <c r="E50" s="9"/>
    </row>
    <row r="51" spans="1:5" ht="15.75" customHeight="1">
      <c r="A51" s="12" t="s">
        <v>371</v>
      </c>
      <c r="B51" s="14">
        <v>0</v>
      </c>
      <c r="C51" s="9"/>
      <c r="D51" s="9"/>
      <c r="E51" s="9"/>
    </row>
    <row r="52" spans="1:5" ht="34.5" customHeight="1">
      <c r="A52" s="180" t="s">
        <v>46</v>
      </c>
      <c r="B52" s="176"/>
      <c r="C52" s="16"/>
      <c r="D52" s="16"/>
      <c r="E52" s="11"/>
    </row>
    <row r="53" spans="1:5" ht="16.5" customHeight="1">
      <c r="A53" s="22" t="s">
        <v>372</v>
      </c>
      <c r="B53" s="10" t="s">
        <v>15</v>
      </c>
      <c r="C53" s="9"/>
      <c r="D53" s="9"/>
      <c r="E53" s="13"/>
    </row>
    <row r="54" spans="1:5" ht="16.5" customHeight="1">
      <c r="A54" s="23" t="s">
        <v>128</v>
      </c>
      <c r="B54" s="10">
        <v>5</v>
      </c>
      <c r="C54" s="9"/>
      <c r="D54" s="9"/>
      <c r="E54" s="13"/>
    </row>
    <row r="55" spans="1:5" ht="16.5" customHeight="1">
      <c r="A55" s="24" t="s">
        <v>49</v>
      </c>
      <c r="B55" s="14">
        <v>0</v>
      </c>
      <c r="C55" s="25"/>
      <c r="D55" s="25"/>
      <c r="E55" s="32"/>
    </row>
    <row r="56" spans="1:5" ht="15.75" customHeight="1">
      <c r="A56" s="27" t="s">
        <v>373</v>
      </c>
      <c r="B56" s="28">
        <v>20</v>
      </c>
      <c r="C56" s="29"/>
      <c r="D56" s="29"/>
      <c r="E56" s="30"/>
    </row>
    <row r="57" spans="1:5" ht="15.75" customHeight="1">
      <c r="A57" s="22" t="s">
        <v>374</v>
      </c>
      <c r="B57" s="15"/>
      <c r="C57" s="16"/>
      <c r="D57" s="16"/>
      <c r="E57" s="11"/>
    </row>
    <row r="58" spans="1:5" ht="16.5" customHeight="1">
      <c r="A58" s="181" t="s">
        <v>375</v>
      </c>
      <c r="B58" s="10" t="s">
        <v>15</v>
      </c>
      <c r="C58" s="9"/>
      <c r="D58" s="9"/>
      <c r="E58" s="13"/>
    </row>
    <row r="59" spans="1:5" ht="15.75" customHeight="1">
      <c r="A59" s="181" t="s">
        <v>376</v>
      </c>
      <c r="B59" s="10">
        <v>7</v>
      </c>
      <c r="C59" s="9"/>
      <c r="D59" s="9"/>
      <c r="E59" s="13"/>
    </row>
    <row r="60" spans="1:5" ht="15.75" customHeight="1">
      <c r="A60" s="177" t="s">
        <v>135</v>
      </c>
      <c r="B60" s="176"/>
      <c r="C60" s="16"/>
      <c r="D60" s="16"/>
      <c r="E60" s="11"/>
    </row>
    <row r="61" spans="1:5" ht="15.75" customHeight="1">
      <c r="A61" s="23" t="s">
        <v>136</v>
      </c>
      <c r="B61" s="10" t="s">
        <v>15</v>
      </c>
      <c r="C61" s="9"/>
      <c r="D61" s="9"/>
      <c r="E61" s="13"/>
    </row>
    <row r="62" spans="1:5" ht="15.75" customHeight="1">
      <c r="A62" s="23" t="s">
        <v>137</v>
      </c>
      <c r="B62" s="10">
        <v>5</v>
      </c>
      <c r="C62" s="9"/>
      <c r="D62" s="9"/>
      <c r="E62" s="13"/>
    </row>
    <row r="63" spans="1:5" ht="15.75" customHeight="1">
      <c r="A63" s="23" t="s">
        <v>138</v>
      </c>
      <c r="B63" s="14">
        <v>0</v>
      </c>
      <c r="C63" s="25"/>
      <c r="D63" s="25"/>
      <c r="E63" s="32"/>
    </row>
    <row r="64" spans="1:5" ht="15.75" customHeight="1">
      <c r="A64" s="182" t="s">
        <v>377</v>
      </c>
      <c r="B64" s="28">
        <v>50</v>
      </c>
      <c r="C64" s="29"/>
      <c r="D64" s="29"/>
      <c r="E64" s="30"/>
    </row>
    <row r="65" spans="1:5" ht="15.75" customHeight="1">
      <c r="A65" s="22" t="s">
        <v>60</v>
      </c>
      <c r="B65" s="15"/>
      <c r="C65" s="16"/>
      <c r="D65" s="16"/>
      <c r="E65" s="11"/>
    </row>
    <row r="66" spans="1:5" ht="16.5" customHeight="1">
      <c r="A66" s="23" t="s">
        <v>61</v>
      </c>
      <c r="B66" s="10">
        <v>10</v>
      </c>
      <c r="C66" s="9"/>
      <c r="D66" s="9"/>
      <c r="E66" s="13"/>
    </row>
    <row r="67" spans="1:5" ht="16.5" customHeight="1">
      <c r="A67" s="23" t="s">
        <v>62</v>
      </c>
      <c r="B67" s="10">
        <v>5</v>
      </c>
      <c r="C67" s="9"/>
      <c r="D67" s="9"/>
      <c r="E67" s="13"/>
    </row>
    <row r="68" spans="1:5" ht="16.5" customHeight="1">
      <c r="A68" s="23" t="s">
        <v>63</v>
      </c>
      <c r="B68" s="14">
        <v>0</v>
      </c>
      <c r="C68" s="9"/>
      <c r="D68" s="9"/>
      <c r="E68" s="13"/>
    </row>
    <row r="69" spans="1:5" ht="15.75" customHeight="1">
      <c r="A69" s="177" t="s">
        <v>64</v>
      </c>
      <c r="B69" s="176"/>
      <c r="C69" s="16"/>
      <c r="D69" s="16"/>
      <c r="E69" s="11"/>
    </row>
    <row r="70" spans="1:5" ht="16.5" customHeight="1">
      <c r="A70" s="23" t="s">
        <v>61</v>
      </c>
      <c r="B70" s="10">
        <v>10</v>
      </c>
      <c r="C70" s="9"/>
      <c r="D70" s="9"/>
      <c r="E70" s="13"/>
    </row>
    <row r="71" spans="1:5" ht="16.5" customHeight="1">
      <c r="A71" s="23" t="s">
        <v>62</v>
      </c>
      <c r="B71" s="10">
        <v>5</v>
      </c>
      <c r="C71" s="9"/>
      <c r="D71" s="9"/>
      <c r="E71" s="13"/>
    </row>
    <row r="72" spans="1:5" ht="16.5" customHeight="1">
      <c r="A72" s="24" t="s">
        <v>63</v>
      </c>
      <c r="B72" s="14">
        <v>0</v>
      </c>
      <c r="C72" s="25"/>
      <c r="D72" s="25"/>
      <c r="E72" s="32"/>
    </row>
    <row r="73" spans="1:5" ht="15.75" customHeight="1">
      <c r="A73" s="22" t="s">
        <v>65</v>
      </c>
      <c r="B73" s="15"/>
      <c r="C73" s="16"/>
      <c r="D73" s="16"/>
      <c r="E73" s="11"/>
    </row>
    <row r="74" spans="1:5" ht="16.5" customHeight="1">
      <c r="A74" s="23" t="s">
        <v>61</v>
      </c>
      <c r="B74" s="10">
        <v>10</v>
      </c>
      <c r="C74" s="9"/>
      <c r="D74" s="9"/>
      <c r="E74" s="13"/>
    </row>
    <row r="75" spans="1:5" ht="16.5" customHeight="1">
      <c r="A75" s="23" t="s">
        <v>62</v>
      </c>
      <c r="B75" s="10">
        <v>5</v>
      </c>
      <c r="C75" s="9"/>
      <c r="D75" s="9"/>
      <c r="E75" s="13"/>
    </row>
    <row r="76" spans="1:5" ht="16.5" customHeight="1">
      <c r="A76" s="23" t="s">
        <v>63</v>
      </c>
      <c r="B76" s="14">
        <v>0</v>
      </c>
      <c r="C76" s="9"/>
      <c r="D76" s="9"/>
      <c r="E76" s="13"/>
    </row>
    <row r="77" spans="1:5" ht="15.75" customHeight="1">
      <c r="A77" s="177" t="s">
        <v>66</v>
      </c>
      <c r="B77" s="176"/>
      <c r="C77" s="16"/>
      <c r="D77" s="16"/>
      <c r="E77" s="11"/>
    </row>
    <row r="78" spans="1:5" ht="16.5" customHeight="1">
      <c r="A78" s="23" t="s">
        <v>61</v>
      </c>
      <c r="B78" s="10">
        <v>10</v>
      </c>
      <c r="C78" s="9"/>
      <c r="D78" s="9"/>
      <c r="E78" s="13"/>
    </row>
    <row r="79" spans="1:5" ht="16.5" customHeight="1">
      <c r="A79" s="23" t="s">
        <v>62</v>
      </c>
      <c r="B79" s="10">
        <v>5</v>
      </c>
      <c r="C79" s="9"/>
      <c r="D79" s="9"/>
      <c r="E79" s="13"/>
    </row>
    <row r="80" spans="1:5" ht="16.5" customHeight="1">
      <c r="A80" s="24" t="s">
        <v>63</v>
      </c>
      <c r="B80" s="14">
        <v>0</v>
      </c>
      <c r="C80" s="25"/>
      <c r="D80" s="25"/>
      <c r="E80" s="32"/>
    </row>
    <row r="81" spans="1:5" ht="15.75" customHeight="1">
      <c r="A81" s="22" t="s">
        <v>378</v>
      </c>
      <c r="B81" s="15"/>
      <c r="C81" s="16"/>
      <c r="D81" s="16"/>
      <c r="E81" s="11"/>
    </row>
    <row r="82" spans="1:5" ht="16.5" customHeight="1">
      <c r="A82" s="23" t="s">
        <v>379</v>
      </c>
      <c r="B82" s="10">
        <v>10</v>
      </c>
      <c r="C82" s="9"/>
      <c r="D82" s="9"/>
      <c r="E82" s="13"/>
    </row>
    <row r="83" spans="1:5" ht="16.5" customHeight="1">
      <c r="A83" s="23" t="s">
        <v>153</v>
      </c>
      <c r="B83" s="10">
        <v>0</v>
      </c>
      <c r="C83" s="9"/>
      <c r="D83" s="9"/>
      <c r="E83" s="13"/>
    </row>
    <row r="84" spans="1:5" ht="15.75" customHeight="1">
      <c r="A84" s="182" t="s">
        <v>68</v>
      </c>
      <c r="B84" s="183">
        <v>50</v>
      </c>
      <c r="C84" s="184"/>
      <c r="D84" s="185"/>
      <c r="E84" s="186"/>
    </row>
    <row r="85" spans="1:5" ht="15.75" customHeight="1">
      <c r="A85" s="187" t="s">
        <v>380</v>
      </c>
      <c r="B85" s="188"/>
      <c r="C85" s="9"/>
      <c r="D85" s="9"/>
      <c r="E85" s="189"/>
    </row>
    <row r="86" spans="1:5" ht="15.75" customHeight="1">
      <c r="A86" s="190" t="s">
        <v>74</v>
      </c>
      <c r="B86" s="191">
        <v>10</v>
      </c>
      <c r="C86" s="9"/>
      <c r="D86" s="9"/>
      <c r="E86" s="189"/>
    </row>
    <row r="87" spans="1:5" ht="15.75" customHeight="1">
      <c r="A87" s="190" t="s">
        <v>156</v>
      </c>
      <c r="B87" s="192">
        <v>5</v>
      </c>
      <c r="C87" s="9"/>
      <c r="D87" s="9"/>
      <c r="E87" s="189"/>
    </row>
    <row r="88" spans="1:5" ht="16.5" customHeight="1">
      <c r="A88" s="190" t="s">
        <v>157</v>
      </c>
      <c r="B88" s="193">
        <v>2</v>
      </c>
      <c r="C88" s="9"/>
      <c r="D88" s="9"/>
      <c r="E88" s="189"/>
    </row>
    <row r="89" spans="1:5" ht="16.5" customHeight="1">
      <c r="A89" s="194" t="s">
        <v>158</v>
      </c>
      <c r="B89" s="193">
        <v>-5</v>
      </c>
      <c r="C89" s="25"/>
      <c r="D89" s="25"/>
      <c r="E89" s="195"/>
    </row>
    <row r="90" spans="1:5" ht="16.5" customHeight="1">
      <c r="A90" s="196" t="s">
        <v>381</v>
      </c>
      <c r="B90" s="197"/>
      <c r="C90" s="21"/>
      <c r="D90" s="9"/>
      <c r="E90" s="13"/>
    </row>
    <row r="91" spans="1:5" ht="16.5" customHeight="1">
      <c r="A91" s="190" t="s">
        <v>78</v>
      </c>
      <c r="B91" s="198">
        <v>5</v>
      </c>
      <c r="C91" s="21"/>
      <c r="D91" s="9"/>
      <c r="E91" s="13"/>
    </row>
    <row r="92" spans="1:5" ht="18" customHeight="1">
      <c r="A92" s="190" t="s">
        <v>79</v>
      </c>
      <c r="B92" s="193">
        <v>3</v>
      </c>
      <c r="C92" s="21"/>
      <c r="D92" s="21"/>
      <c r="E92" s="189"/>
    </row>
    <row r="93" spans="1:5" ht="16.5" customHeight="1">
      <c r="A93" s="199" t="s">
        <v>160</v>
      </c>
      <c r="B93" s="200">
        <v>0</v>
      </c>
      <c r="C93" s="21"/>
      <c r="D93" s="9"/>
      <c r="E93" s="13"/>
    </row>
    <row r="94" spans="1:5" ht="15.75" customHeight="1">
      <c r="A94" s="201" t="s">
        <v>81</v>
      </c>
      <c r="B94" s="188"/>
      <c r="C94" s="202"/>
      <c r="D94" s="203"/>
      <c r="E94" s="204"/>
    </row>
    <row r="95" spans="1:5" ht="15.75" customHeight="1">
      <c r="A95" s="205" t="s">
        <v>161</v>
      </c>
      <c r="B95" s="191">
        <v>5</v>
      </c>
      <c r="C95" s="206"/>
      <c r="D95" s="207"/>
      <c r="E95" s="189"/>
    </row>
    <row r="96" spans="1:5" ht="18" customHeight="1">
      <c r="A96" s="205" t="s">
        <v>162</v>
      </c>
      <c r="B96" s="192">
        <v>0</v>
      </c>
      <c r="C96" s="206"/>
      <c r="D96" s="207"/>
      <c r="E96" s="189"/>
    </row>
    <row r="97" spans="1:5" ht="16.5" customHeight="1">
      <c r="A97" s="196" t="s">
        <v>382</v>
      </c>
      <c r="B97" s="188"/>
      <c r="C97" s="206"/>
      <c r="D97" s="207"/>
      <c r="E97" s="189"/>
    </row>
    <row r="98" spans="1:5" ht="15.75" customHeight="1">
      <c r="A98" s="208" t="s">
        <v>70</v>
      </c>
      <c r="B98" s="209">
        <v>5</v>
      </c>
      <c r="C98" s="210"/>
      <c r="D98" s="210"/>
      <c r="E98" s="211"/>
    </row>
    <row r="99" spans="1:5" ht="15.75" customHeight="1">
      <c r="A99" s="205" t="s">
        <v>71</v>
      </c>
      <c r="B99" s="193">
        <v>3</v>
      </c>
      <c r="C99" s="212"/>
      <c r="D99" s="212"/>
      <c r="E99" s="213"/>
    </row>
    <row r="100" spans="1:5" ht="15.75" customHeight="1">
      <c r="A100" s="205" t="s">
        <v>72</v>
      </c>
      <c r="B100" s="193">
        <v>0</v>
      </c>
      <c r="C100" s="212"/>
      <c r="D100" s="212"/>
      <c r="E100" s="213"/>
    </row>
    <row r="101" spans="1:5" ht="15.75" customHeight="1">
      <c r="A101" s="214" t="s">
        <v>383</v>
      </c>
      <c r="B101" s="215"/>
      <c r="C101" s="210"/>
      <c r="D101" s="210"/>
      <c r="E101" s="211"/>
    </row>
    <row r="102" spans="1:5" ht="15.75" customHeight="1">
      <c r="A102" s="190" t="s">
        <v>384</v>
      </c>
      <c r="B102" s="193"/>
      <c r="C102" s="212"/>
      <c r="D102" s="212"/>
      <c r="E102" s="213"/>
    </row>
    <row r="103" spans="1:5" ht="15.75" customHeight="1">
      <c r="A103" s="190" t="s">
        <v>385</v>
      </c>
      <c r="B103" s="193"/>
      <c r="C103" s="212"/>
      <c r="D103" s="212"/>
      <c r="E103" s="213"/>
    </row>
    <row r="104" spans="1:5" ht="15.75" customHeight="1">
      <c r="A104" s="190" t="s">
        <v>385</v>
      </c>
      <c r="B104" s="193"/>
      <c r="C104" s="212"/>
      <c r="D104" s="212"/>
      <c r="E104" s="213"/>
    </row>
    <row r="105" spans="1:5" ht="15.75" customHeight="1">
      <c r="A105" s="216" t="s">
        <v>386</v>
      </c>
      <c r="B105" s="193"/>
      <c r="C105" s="212"/>
      <c r="D105" s="212"/>
      <c r="E105" s="213"/>
    </row>
    <row r="106" spans="1:5" ht="15.75" customHeight="1">
      <c r="A106" s="216" t="s">
        <v>387</v>
      </c>
      <c r="B106" s="193"/>
      <c r="C106" s="212"/>
      <c r="D106" s="212"/>
      <c r="E106" s="213"/>
    </row>
    <row r="107" spans="1:5" ht="15.75" customHeight="1">
      <c r="A107" s="216" t="s">
        <v>387</v>
      </c>
      <c r="B107" s="193"/>
      <c r="C107" s="212"/>
      <c r="D107" s="212"/>
      <c r="E107" s="213"/>
    </row>
    <row r="108" spans="1:5" ht="15.75" customHeight="1">
      <c r="A108" s="216" t="s">
        <v>387</v>
      </c>
      <c r="B108" s="193"/>
      <c r="C108" s="212"/>
      <c r="D108" s="212"/>
      <c r="E108" s="213"/>
    </row>
    <row r="109" spans="1:5" ht="15.75" customHeight="1">
      <c r="A109" s="216" t="s">
        <v>388</v>
      </c>
      <c r="B109" s="193"/>
      <c r="C109" s="212"/>
      <c r="D109" s="212"/>
      <c r="E109" s="213"/>
    </row>
    <row r="110" spans="1:5" ht="15.75" customHeight="1">
      <c r="A110" s="216" t="s">
        <v>387</v>
      </c>
      <c r="B110" s="193"/>
      <c r="C110" s="212"/>
      <c r="D110" s="212"/>
      <c r="E110" s="213"/>
    </row>
    <row r="111" spans="1:5" ht="15.75" customHeight="1">
      <c r="A111" s="216" t="s">
        <v>177</v>
      </c>
      <c r="B111" s="193"/>
      <c r="C111" s="212"/>
      <c r="D111" s="212"/>
      <c r="E111" s="213"/>
    </row>
    <row r="112" spans="1:5" ht="15.75" customHeight="1">
      <c r="A112" s="216" t="s">
        <v>387</v>
      </c>
      <c r="B112" s="200"/>
      <c r="C112" s="212"/>
      <c r="D112" s="212"/>
      <c r="E112" s="213"/>
    </row>
    <row r="113" spans="1:5" ht="15.75" customHeight="1">
      <c r="A113" s="217" t="s">
        <v>180</v>
      </c>
      <c r="B113" s="218"/>
      <c r="C113" s="219"/>
      <c r="D113" s="219"/>
      <c r="E113" s="220"/>
    </row>
    <row r="114" spans="1:5" ht="15.75" customHeight="1">
      <c r="A114" s="221" t="s">
        <v>389</v>
      </c>
      <c r="B114" s="222">
        <v>5</v>
      </c>
      <c r="C114" s="223"/>
      <c r="D114" s="223"/>
      <c r="E114" s="224"/>
    </row>
    <row r="115" spans="1:5" ht="15.75" customHeight="1">
      <c r="A115" s="221" t="s">
        <v>87</v>
      </c>
      <c r="B115" s="225">
        <v>3</v>
      </c>
      <c r="C115" s="223"/>
      <c r="D115" s="223"/>
      <c r="E115" s="224"/>
    </row>
    <row r="116" spans="1:5" ht="15.75" customHeight="1">
      <c r="A116" s="221" t="s">
        <v>88</v>
      </c>
      <c r="B116" s="225">
        <v>0</v>
      </c>
      <c r="C116" s="223"/>
      <c r="D116" s="223"/>
      <c r="E116" s="224"/>
    </row>
    <row r="117" spans="1:5" ht="15.75" customHeight="1"/>
    <row r="118" spans="1:5" ht="15.75" customHeight="1"/>
    <row r="119" spans="1:5" ht="15.75" customHeight="1">
      <c r="A119" s="37" t="s">
        <v>390</v>
      </c>
    </row>
    <row r="120" spans="1:5" ht="15.75" customHeight="1">
      <c r="A120" s="3" t="s">
        <v>91</v>
      </c>
      <c r="E120" s="3" t="s">
        <v>92</v>
      </c>
    </row>
    <row r="121" spans="1:5" ht="15.75" customHeight="1">
      <c r="A121" s="3" t="s">
        <v>391</v>
      </c>
    </row>
    <row r="122" spans="1:5" ht="15.75" customHeight="1">
      <c r="A122" s="1" t="s">
        <v>392</v>
      </c>
    </row>
    <row r="123" spans="1:5" ht="15.75" customHeight="1"/>
    <row r="124" spans="1:5" ht="15.75" customHeight="1"/>
    <row r="125" spans="1:5" ht="15.75" customHeight="1"/>
    <row r="126" spans="1:5" ht="15.75" customHeight="1"/>
    <row r="127" spans="1:5" ht="15.75" customHeight="1"/>
    <row r="128" spans="1:5"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4">
    <mergeCell ref="A3:E3"/>
    <mergeCell ref="A4:E4"/>
    <mergeCell ref="A10:A11"/>
    <mergeCell ref="C10:E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985"/>
  <sheetViews>
    <sheetView workbookViewId="0"/>
  </sheetViews>
  <sheetFormatPr defaultColWidth="11.25" defaultRowHeight="15" customHeight="1"/>
  <cols>
    <col min="1" max="1" width="36.875" customWidth="1"/>
    <col min="2" max="26" width="10.5" customWidth="1"/>
  </cols>
  <sheetData>
    <row r="1" spans="1:5" ht="15.75" customHeight="1">
      <c r="A1" s="1" t="s">
        <v>0</v>
      </c>
    </row>
    <row r="2" spans="1:5" ht="15.75" customHeight="1">
      <c r="A2" s="2"/>
    </row>
    <row r="3" spans="1:5" ht="15.75" customHeight="1">
      <c r="A3" s="246" t="s">
        <v>393</v>
      </c>
      <c r="B3" s="247"/>
      <c r="C3" s="247"/>
      <c r="D3" s="247"/>
      <c r="E3" s="247"/>
    </row>
    <row r="4" spans="1:5" ht="15.75" customHeight="1">
      <c r="A4" s="248" t="s">
        <v>2</v>
      </c>
      <c r="B4" s="247"/>
      <c r="C4" s="247"/>
      <c r="D4" s="247"/>
      <c r="E4" s="247"/>
    </row>
    <row r="5" spans="1:5" ht="15.75" customHeight="1">
      <c r="A5" s="2"/>
    </row>
    <row r="6" spans="1:5" ht="15.75" customHeight="1">
      <c r="A6" s="3" t="s">
        <v>3</v>
      </c>
    </row>
    <row r="7" spans="1:5" ht="15.75" customHeight="1">
      <c r="A7" s="3" t="s">
        <v>4</v>
      </c>
    </row>
    <row r="8" spans="1:5" ht="15.75" customHeight="1">
      <c r="A8" s="3" t="s">
        <v>5</v>
      </c>
    </row>
    <row r="9" spans="1:5" ht="15.75" customHeight="1">
      <c r="A9" s="3" t="s">
        <v>6</v>
      </c>
    </row>
    <row r="10" spans="1:5" ht="33" customHeight="1">
      <c r="A10" s="249" t="s">
        <v>7</v>
      </c>
      <c r="B10" s="4"/>
      <c r="C10" s="251" t="s">
        <v>8</v>
      </c>
      <c r="D10" s="252"/>
      <c r="E10" s="253"/>
    </row>
    <row r="11" spans="1:5" ht="15.75" customHeight="1">
      <c r="A11" s="250"/>
      <c r="B11" s="5" t="s">
        <v>9</v>
      </c>
      <c r="C11" s="5" t="s">
        <v>10</v>
      </c>
      <c r="D11" s="5" t="s">
        <v>11</v>
      </c>
      <c r="E11" s="5" t="s">
        <v>12</v>
      </c>
    </row>
    <row r="12" spans="1:5" ht="15.75" customHeight="1">
      <c r="A12" s="6" t="s">
        <v>394</v>
      </c>
      <c r="B12" s="7">
        <v>90</v>
      </c>
      <c r="C12" s="8"/>
      <c r="D12" s="8"/>
      <c r="E12" s="8"/>
    </row>
    <row r="13" spans="1:5" ht="15.75" customHeight="1">
      <c r="A13" s="9" t="s">
        <v>395</v>
      </c>
      <c r="B13" s="10"/>
      <c r="C13" s="11"/>
      <c r="D13" s="11"/>
      <c r="E13" s="11"/>
    </row>
    <row r="14" spans="1:5" ht="16.5" customHeight="1">
      <c r="A14" s="12" t="s">
        <v>14</v>
      </c>
      <c r="B14" s="10" t="s">
        <v>15</v>
      </c>
      <c r="C14" s="13"/>
      <c r="D14" s="13"/>
      <c r="E14" s="13"/>
    </row>
    <row r="15" spans="1:5" ht="16.5" customHeight="1">
      <c r="A15" s="12" t="s">
        <v>303</v>
      </c>
      <c r="B15" s="10">
        <v>7</v>
      </c>
      <c r="C15" s="13"/>
      <c r="D15" s="13"/>
      <c r="E15" s="13"/>
    </row>
    <row r="16" spans="1:5" ht="16.5" customHeight="1">
      <c r="A16" s="12" t="s">
        <v>304</v>
      </c>
      <c r="B16" s="10">
        <v>5</v>
      </c>
      <c r="C16" s="13"/>
      <c r="D16" s="13"/>
      <c r="E16" s="13"/>
    </row>
    <row r="17" spans="1:5" ht="15.75" customHeight="1">
      <c r="A17" s="26" t="s">
        <v>351</v>
      </c>
      <c r="B17" s="14">
        <v>0</v>
      </c>
      <c r="C17" s="13"/>
      <c r="D17" s="13"/>
      <c r="E17" s="13"/>
    </row>
    <row r="18" spans="1:5" ht="15.75" customHeight="1">
      <c r="A18" s="9" t="s">
        <v>396</v>
      </c>
      <c r="B18" s="15"/>
      <c r="C18" s="16"/>
      <c r="D18" s="16"/>
      <c r="E18" s="16"/>
    </row>
    <row r="19" spans="1:5" ht="15.75" customHeight="1">
      <c r="A19" s="12" t="s">
        <v>20</v>
      </c>
      <c r="B19" s="10" t="s">
        <v>15</v>
      </c>
      <c r="C19" s="9"/>
      <c r="D19" s="9"/>
      <c r="E19" s="9"/>
    </row>
    <row r="20" spans="1:5" ht="15.75" customHeight="1">
      <c r="A20" s="12" t="s">
        <v>354</v>
      </c>
      <c r="B20" s="10">
        <v>7</v>
      </c>
      <c r="C20" s="9"/>
      <c r="D20" s="9"/>
      <c r="E20" s="9"/>
    </row>
    <row r="21" spans="1:5" ht="15.75" customHeight="1">
      <c r="A21" s="12" t="s">
        <v>355</v>
      </c>
      <c r="B21" s="10">
        <v>5</v>
      </c>
      <c r="C21" s="9"/>
      <c r="D21" s="9"/>
      <c r="E21" s="9"/>
    </row>
    <row r="22" spans="1:5" ht="15.75" customHeight="1">
      <c r="A22" s="12" t="s">
        <v>356</v>
      </c>
      <c r="B22" s="10">
        <v>0</v>
      </c>
      <c r="C22" s="9"/>
      <c r="D22" s="9"/>
      <c r="E22" s="9"/>
    </row>
    <row r="23" spans="1:5" ht="15.75" customHeight="1">
      <c r="A23" s="16" t="s">
        <v>397</v>
      </c>
      <c r="B23" s="176"/>
      <c r="C23" s="16"/>
      <c r="D23" s="16"/>
      <c r="E23" s="16"/>
    </row>
    <row r="24" spans="1:5" ht="15.75" customHeight="1">
      <c r="A24" s="12" t="s">
        <v>26</v>
      </c>
      <c r="B24" s="10" t="s">
        <v>15</v>
      </c>
      <c r="C24" s="9"/>
      <c r="D24" s="9"/>
      <c r="E24" s="9"/>
    </row>
    <row r="25" spans="1:5" ht="15.75" customHeight="1">
      <c r="A25" s="12" t="s">
        <v>358</v>
      </c>
      <c r="B25" s="10">
        <v>7</v>
      </c>
      <c r="C25" s="9"/>
      <c r="D25" s="9"/>
      <c r="E25" s="9"/>
    </row>
    <row r="26" spans="1:5" ht="15.75" customHeight="1">
      <c r="A26" s="12" t="s">
        <v>359</v>
      </c>
      <c r="B26" s="10">
        <v>5</v>
      </c>
      <c r="C26" s="9"/>
      <c r="D26" s="9"/>
      <c r="E26" s="9"/>
    </row>
    <row r="27" spans="1:5" ht="15.75" customHeight="1">
      <c r="A27" s="26" t="s">
        <v>360</v>
      </c>
      <c r="B27" s="14">
        <v>0</v>
      </c>
      <c r="C27" s="25"/>
      <c r="D27" s="25"/>
      <c r="E27" s="25"/>
    </row>
    <row r="28" spans="1:5" ht="15.75" customHeight="1">
      <c r="A28" s="22" t="s">
        <v>30</v>
      </c>
      <c r="B28" s="10"/>
      <c r="C28" s="9"/>
      <c r="D28" s="9"/>
      <c r="E28" s="9"/>
    </row>
    <row r="29" spans="1:5" ht="15.75" customHeight="1">
      <c r="A29" s="23" t="s">
        <v>31</v>
      </c>
      <c r="B29" s="10">
        <v>10</v>
      </c>
      <c r="C29" s="9"/>
      <c r="D29" s="9"/>
      <c r="E29" s="9"/>
    </row>
    <row r="30" spans="1:5" ht="15.75" customHeight="1">
      <c r="A30" s="23" t="s">
        <v>32</v>
      </c>
      <c r="B30" s="10">
        <v>5</v>
      </c>
      <c r="C30" s="9"/>
      <c r="D30" s="9"/>
      <c r="E30" s="9"/>
    </row>
    <row r="31" spans="1:5" ht="15.75" customHeight="1">
      <c r="A31" s="24" t="s">
        <v>33</v>
      </c>
      <c r="B31" s="14">
        <v>0</v>
      </c>
      <c r="C31" s="25"/>
      <c r="D31" s="25"/>
      <c r="E31" s="25"/>
    </row>
    <row r="32" spans="1:5" ht="15.75" customHeight="1">
      <c r="A32" s="177" t="s">
        <v>34</v>
      </c>
      <c r="B32" s="178"/>
      <c r="C32" s="16"/>
      <c r="D32" s="16"/>
      <c r="E32" s="16"/>
    </row>
    <row r="33" spans="1:5" ht="15.75" customHeight="1">
      <c r="A33" s="12" t="s">
        <v>35</v>
      </c>
      <c r="B33" s="10" t="s">
        <v>15</v>
      </c>
      <c r="C33" s="9"/>
      <c r="D33" s="9"/>
      <c r="E33" s="9"/>
    </row>
    <row r="34" spans="1:5" ht="15.75" customHeight="1">
      <c r="A34" s="12" t="s">
        <v>361</v>
      </c>
      <c r="B34" s="10">
        <v>7</v>
      </c>
      <c r="C34" s="9"/>
      <c r="D34" s="9"/>
      <c r="E34" s="9"/>
    </row>
    <row r="35" spans="1:5" ht="15.75" customHeight="1">
      <c r="A35" s="12" t="s">
        <v>111</v>
      </c>
      <c r="B35" s="10">
        <v>5</v>
      </c>
      <c r="C35" s="9"/>
      <c r="D35" s="9"/>
      <c r="E35" s="9"/>
    </row>
    <row r="36" spans="1:5" ht="15.75" customHeight="1">
      <c r="A36" s="24" t="s">
        <v>362</v>
      </c>
      <c r="B36" s="14">
        <v>0</v>
      </c>
      <c r="C36" s="25"/>
      <c r="D36" s="25"/>
      <c r="E36" s="25"/>
    </row>
    <row r="37" spans="1:5" ht="15.75" customHeight="1">
      <c r="A37" s="9" t="s">
        <v>39</v>
      </c>
      <c r="B37" s="10"/>
      <c r="C37" s="16"/>
      <c r="D37" s="16"/>
      <c r="E37" s="16"/>
    </row>
    <row r="38" spans="1:5" ht="15.75" customHeight="1">
      <c r="A38" s="12" t="s">
        <v>26</v>
      </c>
      <c r="B38" s="10" t="s">
        <v>15</v>
      </c>
      <c r="C38" s="9"/>
      <c r="D38" s="9"/>
      <c r="E38" s="9"/>
    </row>
    <row r="39" spans="1:5" ht="15.75" customHeight="1">
      <c r="A39" s="12" t="s">
        <v>363</v>
      </c>
      <c r="B39" s="10">
        <v>7</v>
      </c>
      <c r="C39" s="9"/>
      <c r="D39" s="9"/>
      <c r="E39" s="9"/>
    </row>
    <row r="40" spans="1:5" ht="15.75" customHeight="1">
      <c r="A40" s="12" t="s">
        <v>364</v>
      </c>
      <c r="B40" s="10">
        <v>5</v>
      </c>
      <c r="C40" s="9"/>
      <c r="D40" s="9"/>
      <c r="E40" s="9"/>
    </row>
    <row r="41" spans="1:5" ht="15.75" customHeight="1">
      <c r="A41" s="26" t="s">
        <v>365</v>
      </c>
      <c r="B41" s="14">
        <v>0</v>
      </c>
      <c r="C41" s="25"/>
      <c r="D41" s="25"/>
      <c r="E41" s="25"/>
    </row>
    <row r="42" spans="1:5" ht="15.75" customHeight="1">
      <c r="A42" s="9" t="s">
        <v>398</v>
      </c>
      <c r="B42" s="10"/>
      <c r="C42" s="16"/>
      <c r="D42" s="16"/>
      <c r="E42" s="16"/>
    </row>
    <row r="43" spans="1:5" ht="15.75" customHeight="1">
      <c r="A43" s="12" t="s">
        <v>26</v>
      </c>
      <c r="B43" s="10" t="s">
        <v>15</v>
      </c>
      <c r="C43" s="9"/>
      <c r="D43" s="9"/>
      <c r="E43" s="9"/>
    </row>
    <row r="44" spans="1:5" ht="15.75" customHeight="1">
      <c r="A44" s="12" t="s">
        <v>358</v>
      </c>
      <c r="B44" s="10">
        <v>7</v>
      </c>
      <c r="C44" s="9"/>
      <c r="D44" s="9"/>
      <c r="E44" s="9"/>
    </row>
    <row r="45" spans="1:5" ht="15.75" customHeight="1">
      <c r="A45" s="12" t="s">
        <v>359</v>
      </c>
      <c r="B45" s="10">
        <v>5</v>
      </c>
      <c r="C45" s="9"/>
      <c r="D45" s="9"/>
      <c r="E45" s="9"/>
    </row>
    <row r="46" spans="1:5" ht="15.75" customHeight="1">
      <c r="A46" s="26" t="s">
        <v>365</v>
      </c>
      <c r="B46" s="14">
        <v>0</v>
      </c>
      <c r="C46" s="25"/>
      <c r="D46" s="25"/>
      <c r="E46" s="25"/>
    </row>
    <row r="47" spans="1:5" ht="15.75" customHeight="1">
      <c r="A47" s="9" t="s">
        <v>367</v>
      </c>
      <c r="B47" s="10"/>
      <c r="C47" s="16"/>
      <c r="D47" s="16"/>
      <c r="E47" s="16"/>
    </row>
    <row r="48" spans="1:5" ht="15.75" customHeight="1">
      <c r="A48" s="9" t="s">
        <v>399</v>
      </c>
      <c r="B48" s="10" t="s">
        <v>15</v>
      </c>
      <c r="C48" s="9"/>
      <c r="D48" s="9"/>
      <c r="E48" s="9"/>
    </row>
    <row r="49" spans="1:5" ht="15.75" customHeight="1">
      <c r="A49" s="9" t="s">
        <v>400</v>
      </c>
      <c r="B49" s="10">
        <v>7</v>
      </c>
      <c r="C49" s="9"/>
      <c r="D49" s="9"/>
      <c r="E49" s="9"/>
    </row>
    <row r="50" spans="1:5" ht="15.75" customHeight="1">
      <c r="A50" s="12" t="s">
        <v>370</v>
      </c>
      <c r="B50" s="10">
        <v>5</v>
      </c>
      <c r="C50" s="9"/>
      <c r="D50" s="9"/>
      <c r="E50" s="9"/>
    </row>
    <row r="51" spans="1:5" ht="15.75" customHeight="1">
      <c r="A51" s="12" t="s">
        <v>371</v>
      </c>
      <c r="B51" s="14">
        <v>0</v>
      </c>
      <c r="C51" s="9"/>
      <c r="D51" s="9"/>
      <c r="E51" s="9"/>
    </row>
    <row r="52" spans="1:5" ht="15.75" customHeight="1">
      <c r="A52" s="177" t="s">
        <v>46</v>
      </c>
      <c r="B52" s="176"/>
      <c r="C52" s="16"/>
      <c r="D52" s="16"/>
      <c r="E52" s="11"/>
    </row>
    <row r="53" spans="1:5" ht="16.5" customHeight="1">
      <c r="A53" s="22" t="s">
        <v>401</v>
      </c>
      <c r="B53" s="10" t="s">
        <v>15</v>
      </c>
      <c r="C53" s="9"/>
      <c r="D53" s="9"/>
      <c r="E53" s="13"/>
    </row>
    <row r="54" spans="1:5" ht="16.5" customHeight="1">
      <c r="A54" s="23" t="s">
        <v>128</v>
      </c>
      <c r="B54" s="10">
        <v>5</v>
      </c>
      <c r="C54" s="9"/>
      <c r="D54" s="9"/>
      <c r="E54" s="13"/>
    </row>
    <row r="55" spans="1:5" ht="16.5" customHeight="1">
      <c r="A55" s="24" t="s">
        <v>49</v>
      </c>
      <c r="B55" s="14">
        <v>0</v>
      </c>
      <c r="C55" s="25"/>
      <c r="D55" s="25"/>
      <c r="E55" s="32"/>
    </row>
    <row r="56" spans="1:5" ht="15.75" customHeight="1">
      <c r="A56" s="27" t="s">
        <v>402</v>
      </c>
      <c r="B56" s="28">
        <v>20</v>
      </c>
      <c r="C56" s="29"/>
      <c r="D56" s="29"/>
      <c r="E56" s="30"/>
    </row>
    <row r="57" spans="1:5" ht="15.75" customHeight="1">
      <c r="A57" s="22" t="s">
        <v>313</v>
      </c>
      <c r="B57" s="15"/>
      <c r="C57" s="16"/>
      <c r="D57" s="16"/>
      <c r="E57" s="11"/>
    </row>
    <row r="58" spans="1:5" ht="16.5" customHeight="1">
      <c r="A58" s="181" t="s">
        <v>314</v>
      </c>
      <c r="B58" s="10" t="s">
        <v>15</v>
      </c>
      <c r="C58" s="9"/>
      <c r="D58" s="9"/>
      <c r="E58" s="13"/>
    </row>
    <row r="59" spans="1:5" ht="15.75" customHeight="1">
      <c r="A59" s="181" t="s">
        <v>315</v>
      </c>
      <c r="B59" s="10">
        <v>7</v>
      </c>
      <c r="C59" s="9"/>
      <c r="D59" s="9"/>
      <c r="E59" s="13"/>
    </row>
    <row r="60" spans="1:5" ht="15.75" customHeight="1">
      <c r="A60" s="181" t="s">
        <v>403</v>
      </c>
      <c r="B60" s="10">
        <v>0</v>
      </c>
      <c r="C60" s="9"/>
      <c r="D60" s="9"/>
      <c r="E60" s="13"/>
    </row>
    <row r="61" spans="1:5" ht="15.75" customHeight="1">
      <c r="A61" s="177" t="s">
        <v>317</v>
      </c>
      <c r="B61" s="176"/>
      <c r="C61" s="16"/>
      <c r="D61" s="16"/>
      <c r="E61" s="11"/>
    </row>
    <row r="62" spans="1:5" ht="15.75" customHeight="1">
      <c r="A62" s="23" t="s">
        <v>318</v>
      </c>
      <c r="B62" s="10" t="s">
        <v>15</v>
      </c>
      <c r="C62" s="9"/>
      <c r="D62" s="9"/>
      <c r="E62" s="13"/>
    </row>
    <row r="63" spans="1:5" ht="15.75" customHeight="1">
      <c r="A63" s="23" t="s">
        <v>319</v>
      </c>
      <c r="B63" s="10">
        <v>5</v>
      </c>
      <c r="C63" s="9"/>
      <c r="D63" s="9"/>
      <c r="E63" s="13"/>
    </row>
    <row r="64" spans="1:5" ht="15.75" customHeight="1">
      <c r="A64" s="23" t="s">
        <v>143</v>
      </c>
      <c r="B64" s="14">
        <v>0</v>
      </c>
      <c r="C64" s="25"/>
      <c r="D64" s="25"/>
      <c r="E64" s="32"/>
    </row>
    <row r="65" spans="1:5" ht="15.75" customHeight="1">
      <c r="A65" s="182" t="s">
        <v>404</v>
      </c>
      <c r="B65" s="28">
        <v>50</v>
      </c>
      <c r="C65" s="29"/>
      <c r="D65" s="29"/>
      <c r="E65" s="30"/>
    </row>
    <row r="66" spans="1:5" ht="15.75" customHeight="1">
      <c r="A66" s="22" t="s">
        <v>60</v>
      </c>
      <c r="B66" s="15"/>
      <c r="C66" s="16"/>
      <c r="D66" s="16"/>
      <c r="E66" s="11"/>
    </row>
    <row r="67" spans="1:5" ht="16.5" customHeight="1">
      <c r="A67" s="23" t="s">
        <v>61</v>
      </c>
      <c r="B67" s="10">
        <v>10</v>
      </c>
      <c r="C67" s="9"/>
      <c r="D67" s="9"/>
      <c r="E67" s="13"/>
    </row>
    <row r="68" spans="1:5" ht="16.5" customHeight="1">
      <c r="A68" s="23" t="s">
        <v>62</v>
      </c>
      <c r="B68" s="10">
        <v>5</v>
      </c>
      <c r="C68" s="9"/>
      <c r="D68" s="9"/>
      <c r="E68" s="13"/>
    </row>
    <row r="69" spans="1:5" ht="16.5" customHeight="1">
      <c r="A69" s="23" t="s">
        <v>63</v>
      </c>
      <c r="B69" s="14">
        <v>0</v>
      </c>
      <c r="C69" s="9"/>
      <c r="D69" s="9"/>
      <c r="E69" s="13"/>
    </row>
    <row r="70" spans="1:5" ht="15.75" customHeight="1">
      <c r="A70" s="177" t="s">
        <v>64</v>
      </c>
      <c r="B70" s="176"/>
      <c r="C70" s="16"/>
      <c r="D70" s="16"/>
      <c r="E70" s="11"/>
    </row>
    <row r="71" spans="1:5" ht="16.5" customHeight="1">
      <c r="A71" s="23" t="s">
        <v>61</v>
      </c>
      <c r="B71" s="10">
        <v>10</v>
      </c>
      <c r="C71" s="9"/>
      <c r="D71" s="9"/>
      <c r="E71" s="13"/>
    </row>
    <row r="72" spans="1:5" ht="16.5" customHeight="1">
      <c r="A72" s="23" t="s">
        <v>62</v>
      </c>
      <c r="B72" s="10">
        <v>5</v>
      </c>
      <c r="C72" s="9"/>
      <c r="D72" s="9"/>
      <c r="E72" s="13"/>
    </row>
    <row r="73" spans="1:5" ht="16.5" customHeight="1">
      <c r="A73" s="24" t="s">
        <v>63</v>
      </c>
      <c r="B73" s="14">
        <v>0</v>
      </c>
      <c r="C73" s="25"/>
      <c r="D73" s="25"/>
      <c r="E73" s="32"/>
    </row>
    <row r="74" spans="1:5" ht="15.75" customHeight="1">
      <c r="A74" s="22" t="s">
        <v>65</v>
      </c>
      <c r="B74" s="15"/>
      <c r="C74" s="16"/>
      <c r="D74" s="16"/>
      <c r="E74" s="11"/>
    </row>
    <row r="75" spans="1:5" ht="16.5" customHeight="1">
      <c r="A75" s="23" t="s">
        <v>61</v>
      </c>
      <c r="B75" s="10">
        <v>10</v>
      </c>
      <c r="C75" s="9"/>
      <c r="D75" s="9"/>
      <c r="E75" s="13"/>
    </row>
    <row r="76" spans="1:5" ht="16.5" customHeight="1">
      <c r="A76" s="23" t="s">
        <v>62</v>
      </c>
      <c r="B76" s="10">
        <v>5</v>
      </c>
      <c r="C76" s="9"/>
      <c r="D76" s="9"/>
      <c r="E76" s="13"/>
    </row>
    <row r="77" spans="1:5" ht="16.5" customHeight="1">
      <c r="A77" s="23" t="s">
        <v>63</v>
      </c>
      <c r="B77" s="14">
        <v>0</v>
      </c>
      <c r="C77" s="9"/>
      <c r="D77" s="9"/>
      <c r="E77" s="13"/>
    </row>
    <row r="78" spans="1:5" ht="15.75" customHeight="1">
      <c r="A78" s="177" t="s">
        <v>66</v>
      </c>
      <c r="B78" s="176"/>
      <c r="C78" s="16"/>
      <c r="D78" s="16"/>
      <c r="E78" s="11"/>
    </row>
    <row r="79" spans="1:5" ht="16.5" customHeight="1">
      <c r="A79" s="23" t="s">
        <v>61</v>
      </c>
      <c r="B79" s="10">
        <v>10</v>
      </c>
      <c r="C79" s="9"/>
      <c r="D79" s="9"/>
      <c r="E79" s="13"/>
    </row>
    <row r="80" spans="1:5" ht="16.5" customHeight="1">
      <c r="A80" s="23" t="s">
        <v>62</v>
      </c>
      <c r="B80" s="10">
        <v>5</v>
      </c>
      <c r="C80" s="9"/>
      <c r="D80" s="9"/>
      <c r="E80" s="13"/>
    </row>
    <row r="81" spans="1:5" ht="16.5" customHeight="1">
      <c r="A81" s="24" t="s">
        <v>63</v>
      </c>
      <c r="B81" s="14">
        <v>0</v>
      </c>
      <c r="C81" s="25"/>
      <c r="D81" s="25"/>
      <c r="E81" s="32"/>
    </row>
    <row r="82" spans="1:5" ht="15.75" customHeight="1">
      <c r="A82" s="22" t="s">
        <v>378</v>
      </c>
      <c r="B82" s="15"/>
      <c r="C82" s="16"/>
      <c r="D82" s="16"/>
      <c r="E82" s="11"/>
    </row>
    <row r="83" spans="1:5" ht="16.5" customHeight="1">
      <c r="A83" s="23" t="s">
        <v>379</v>
      </c>
      <c r="B83" s="10">
        <v>10</v>
      </c>
      <c r="C83" s="9"/>
      <c r="D83" s="9"/>
      <c r="E83" s="13"/>
    </row>
    <row r="84" spans="1:5" ht="16.5" customHeight="1">
      <c r="A84" s="23" t="s">
        <v>405</v>
      </c>
      <c r="B84" s="10">
        <v>0</v>
      </c>
      <c r="C84" s="9"/>
      <c r="D84" s="9"/>
      <c r="E84" s="13"/>
    </row>
    <row r="85" spans="1:5" ht="15.75" customHeight="1">
      <c r="A85" s="182" t="s">
        <v>68</v>
      </c>
      <c r="B85" s="183">
        <v>40</v>
      </c>
      <c r="C85" s="183"/>
      <c r="D85" s="226"/>
      <c r="E85" s="186"/>
    </row>
    <row r="86" spans="1:5" ht="15.75" customHeight="1">
      <c r="A86" s="22" t="s">
        <v>406</v>
      </c>
      <c r="B86" s="15"/>
      <c r="C86" s="16"/>
      <c r="D86" s="16"/>
      <c r="E86" s="11"/>
    </row>
    <row r="87" spans="1:5" ht="15.75" customHeight="1">
      <c r="A87" s="23" t="s">
        <v>74</v>
      </c>
      <c r="B87" s="10">
        <v>10</v>
      </c>
      <c r="C87" s="9"/>
      <c r="D87" s="9"/>
      <c r="E87" s="13"/>
    </row>
    <row r="88" spans="1:5" ht="15.75" customHeight="1">
      <c r="A88" s="23" t="s">
        <v>75</v>
      </c>
      <c r="B88" s="10">
        <v>5</v>
      </c>
      <c r="C88" s="9"/>
      <c r="D88" s="9"/>
      <c r="E88" s="13"/>
    </row>
    <row r="89" spans="1:5" ht="16.5" customHeight="1">
      <c r="A89" s="23" t="s">
        <v>76</v>
      </c>
      <c r="B89" s="14">
        <v>0</v>
      </c>
      <c r="C89" s="9"/>
      <c r="D89" s="9"/>
      <c r="E89" s="13"/>
    </row>
    <row r="90" spans="1:5" ht="16.5" customHeight="1">
      <c r="A90" s="177" t="s">
        <v>77</v>
      </c>
      <c r="B90" s="178"/>
      <c r="C90" s="16"/>
      <c r="D90" s="16"/>
      <c r="E90" s="11"/>
    </row>
    <row r="91" spans="1:5" ht="16.5" customHeight="1">
      <c r="A91" s="23" t="s">
        <v>78</v>
      </c>
      <c r="B91" s="10" t="s">
        <v>15</v>
      </c>
      <c r="C91" s="9"/>
      <c r="D91" s="9"/>
      <c r="E91" s="13"/>
    </row>
    <row r="92" spans="1:5" ht="16.5" customHeight="1">
      <c r="A92" s="23" t="s">
        <v>79</v>
      </c>
      <c r="B92" s="10">
        <v>5</v>
      </c>
      <c r="C92" s="9"/>
      <c r="D92" s="9"/>
      <c r="E92" s="13"/>
    </row>
    <row r="93" spans="1:5" ht="18" customHeight="1">
      <c r="A93" s="24" t="s">
        <v>80</v>
      </c>
      <c r="B93" s="14">
        <v>0</v>
      </c>
      <c r="C93" s="25"/>
      <c r="D93" s="25"/>
      <c r="E93" s="32"/>
    </row>
    <row r="94" spans="1:5" ht="16.5" customHeight="1">
      <c r="A94" s="9" t="s">
        <v>81</v>
      </c>
      <c r="B94" s="10"/>
      <c r="C94" s="16"/>
      <c r="D94" s="16"/>
      <c r="E94" s="11"/>
    </row>
    <row r="95" spans="1:5" ht="15.75" customHeight="1">
      <c r="A95" s="12" t="s">
        <v>82</v>
      </c>
      <c r="B95" s="10">
        <v>10</v>
      </c>
      <c r="C95" s="9"/>
      <c r="D95" s="9"/>
      <c r="E95" s="13"/>
    </row>
    <row r="96" spans="1:5" ht="15.75" customHeight="1">
      <c r="A96" s="12" t="s">
        <v>83</v>
      </c>
      <c r="B96" s="10">
        <v>5</v>
      </c>
      <c r="C96" s="9"/>
      <c r="D96" s="9"/>
      <c r="E96" s="13"/>
    </row>
    <row r="97" spans="1:5" ht="18" customHeight="1">
      <c r="A97" s="24" t="s">
        <v>84</v>
      </c>
      <c r="B97" s="14">
        <v>0</v>
      </c>
      <c r="C97" s="25"/>
      <c r="D97" s="25"/>
      <c r="E97" s="32"/>
    </row>
    <row r="98" spans="1:5" ht="15.75" customHeight="1">
      <c r="A98" s="9" t="s">
        <v>407</v>
      </c>
      <c r="B98" s="10"/>
      <c r="C98" s="16"/>
      <c r="D98" s="16"/>
      <c r="E98" s="11"/>
    </row>
    <row r="99" spans="1:5" ht="16.5" customHeight="1">
      <c r="A99" s="12" t="s">
        <v>408</v>
      </c>
      <c r="B99" s="10">
        <v>10</v>
      </c>
      <c r="C99" s="9"/>
      <c r="D99" s="9"/>
      <c r="E99" s="13"/>
    </row>
    <row r="100" spans="1:5" ht="16.5" customHeight="1">
      <c r="A100" s="12" t="s">
        <v>409</v>
      </c>
      <c r="B100" s="10">
        <v>5</v>
      </c>
      <c r="C100" s="9"/>
      <c r="D100" s="9"/>
      <c r="E100" s="13"/>
    </row>
    <row r="101" spans="1:5" ht="16.5" customHeight="1">
      <c r="A101" s="23" t="s">
        <v>410</v>
      </c>
      <c r="B101" s="14">
        <v>0</v>
      </c>
      <c r="C101" s="9"/>
      <c r="D101" s="9"/>
      <c r="E101" s="13"/>
    </row>
    <row r="102" spans="1:5" ht="15.75" customHeight="1">
      <c r="A102" s="185" t="s">
        <v>89</v>
      </c>
      <c r="B102" s="254"/>
      <c r="C102" s="252"/>
      <c r="D102" s="253"/>
      <c r="E102" s="227"/>
    </row>
    <row r="103" spans="1:5" ht="15.75" customHeight="1">
      <c r="A103" s="3"/>
    </row>
    <row r="104" spans="1:5" ht="15.75" customHeight="1">
      <c r="A104" s="37" t="s">
        <v>411</v>
      </c>
    </row>
    <row r="105" spans="1:5" ht="15.75" customHeight="1">
      <c r="A105" s="3" t="s">
        <v>91</v>
      </c>
      <c r="E105" s="3" t="s">
        <v>92</v>
      </c>
    </row>
    <row r="106" spans="1:5" ht="15.75" customHeight="1">
      <c r="A106" s="3" t="s">
        <v>412</v>
      </c>
    </row>
    <row r="107" spans="1:5" ht="15.75" customHeight="1">
      <c r="A107" s="1" t="s">
        <v>413</v>
      </c>
    </row>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5">
    <mergeCell ref="A3:E3"/>
    <mergeCell ref="A4:E4"/>
    <mergeCell ref="A10:A11"/>
    <mergeCell ref="C10:E10"/>
    <mergeCell ref="B102:D1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984"/>
  <sheetViews>
    <sheetView workbookViewId="0"/>
  </sheetViews>
  <sheetFormatPr defaultColWidth="11.25" defaultRowHeight="15" customHeight="1"/>
  <cols>
    <col min="1" max="1" width="36.875" customWidth="1"/>
    <col min="2" max="26" width="10.5" customWidth="1"/>
  </cols>
  <sheetData>
    <row r="1" spans="1:5" ht="15.75" customHeight="1">
      <c r="A1" s="1" t="s">
        <v>0</v>
      </c>
    </row>
    <row r="2" spans="1:5" ht="15.75" customHeight="1">
      <c r="A2" s="2"/>
    </row>
    <row r="3" spans="1:5" ht="15.75" customHeight="1">
      <c r="A3" s="246" t="s">
        <v>414</v>
      </c>
      <c r="B3" s="247"/>
      <c r="C3" s="247"/>
      <c r="D3" s="247"/>
      <c r="E3" s="247"/>
    </row>
    <row r="4" spans="1:5" ht="15.75" customHeight="1">
      <c r="A4" s="248" t="s">
        <v>2</v>
      </c>
      <c r="B4" s="247"/>
      <c r="C4" s="247"/>
      <c r="D4" s="247"/>
      <c r="E4" s="247"/>
    </row>
    <row r="5" spans="1:5" ht="15.75" customHeight="1">
      <c r="A5" s="2"/>
    </row>
    <row r="6" spans="1:5" ht="15.75" customHeight="1">
      <c r="A6" s="3" t="s">
        <v>3</v>
      </c>
    </row>
    <row r="7" spans="1:5" ht="15.75" customHeight="1">
      <c r="A7" s="3" t="s">
        <v>4</v>
      </c>
    </row>
    <row r="8" spans="1:5" ht="15.75" customHeight="1">
      <c r="A8" s="3" t="s">
        <v>5</v>
      </c>
    </row>
    <row r="9" spans="1:5" ht="15.75" customHeight="1">
      <c r="A9" s="3" t="s">
        <v>6</v>
      </c>
    </row>
    <row r="10" spans="1:5" ht="33" customHeight="1">
      <c r="A10" s="249" t="s">
        <v>7</v>
      </c>
      <c r="B10" s="4"/>
      <c r="C10" s="251" t="s">
        <v>8</v>
      </c>
      <c r="D10" s="252"/>
      <c r="E10" s="253"/>
    </row>
    <row r="11" spans="1:5" ht="15.75" customHeight="1">
      <c r="A11" s="250"/>
      <c r="B11" s="5" t="s">
        <v>9</v>
      </c>
      <c r="C11" s="5" t="s">
        <v>10</v>
      </c>
      <c r="D11" s="5" t="s">
        <v>11</v>
      </c>
      <c r="E11" s="5" t="s">
        <v>12</v>
      </c>
    </row>
    <row r="12" spans="1:5" ht="15.75" customHeight="1">
      <c r="A12" s="6" t="s">
        <v>415</v>
      </c>
      <c r="B12" s="7">
        <v>90</v>
      </c>
      <c r="C12" s="8"/>
      <c r="D12" s="8"/>
      <c r="E12" s="8"/>
    </row>
    <row r="13" spans="1:5" ht="15.75" customHeight="1">
      <c r="A13" s="9" t="s">
        <v>416</v>
      </c>
      <c r="B13" s="10"/>
      <c r="C13" s="11"/>
      <c r="D13" s="11"/>
      <c r="E13" s="11"/>
    </row>
    <row r="14" spans="1:5" ht="16.5" customHeight="1">
      <c r="A14" s="12" t="s">
        <v>14</v>
      </c>
      <c r="B14" s="10" t="s">
        <v>15</v>
      </c>
      <c r="C14" s="13"/>
      <c r="D14" s="13"/>
      <c r="E14" s="13"/>
    </row>
    <row r="15" spans="1:5" ht="16.5" customHeight="1">
      <c r="A15" s="12" t="s">
        <v>303</v>
      </c>
      <c r="B15" s="10">
        <v>7</v>
      </c>
      <c r="C15" s="13"/>
      <c r="D15" s="13"/>
      <c r="E15" s="13"/>
    </row>
    <row r="16" spans="1:5" ht="16.5" customHeight="1">
      <c r="A16" s="12" t="s">
        <v>304</v>
      </c>
      <c r="B16" s="10">
        <v>5</v>
      </c>
      <c r="C16" s="13"/>
      <c r="D16" s="13"/>
      <c r="E16" s="13"/>
    </row>
    <row r="17" spans="1:5" ht="15.75" customHeight="1">
      <c r="A17" s="26" t="s">
        <v>351</v>
      </c>
      <c r="B17" s="14">
        <v>0</v>
      </c>
      <c r="C17" s="13"/>
      <c r="D17" s="13"/>
      <c r="E17" s="13"/>
    </row>
    <row r="18" spans="1:5" ht="15.75" customHeight="1">
      <c r="A18" s="9" t="s">
        <v>417</v>
      </c>
      <c r="B18" s="15"/>
      <c r="C18" s="16"/>
      <c r="D18" s="16"/>
      <c r="E18" s="16"/>
    </row>
    <row r="19" spans="1:5" ht="15.75" customHeight="1">
      <c r="A19" s="12" t="s">
        <v>20</v>
      </c>
      <c r="B19" s="10" t="s">
        <v>15</v>
      </c>
      <c r="C19" s="9"/>
      <c r="D19" s="9"/>
      <c r="E19" s="9"/>
    </row>
    <row r="20" spans="1:5" ht="15.75" customHeight="1">
      <c r="A20" s="12" t="s">
        <v>354</v>
      </c>
      <c r="B20" s="10">
        <v>7</v>
      </c>
      <c r="C20" s="9"/>
      <c r="D20" s="9"/>
      <c r="E20" s="9"/>
    </row>
    <row r="21" spans="1:5" ht="15.75" customHeight="1">
      <c r="A21" s="12" t="s">
        <v>355</v>
      </c>
      <c r="B21" s="10">
        <v>5</v>
      </c>
      <c r="C21" s="9"/>
      <c r="D21" s="9"/>
      <c r="E21" s="9"/>
    </row>
    <row r="22" spans="1:5" ht="15.75" customHeight="1">
      <c r="A22" s="12" t="s">
        <v>356</v>
      </c>
      <c r="B22" s="10">
        <v>0</v>
      </c>
      <c r="C22" s="9"/>
      <c r="D22" s="9"/>
      <c r="E22" s="9"/>
    </row>
    <row r="23" spans="1:5" ht="15.75" customHeight="1">
      <c r="A23" s="16" t="s">
        <v>418</v>
      </c>
      <c r="B23" s="176"/>
      <c r="C23" s="16"/>
      <c r="D23" s="16"/>
      <c r="E23" s="16"/>
    </row>
    <row r="24" spans="1:5" ht="15.75" customHeight="1">
      <c r="A24" s="12" t="s">
        <v>26</v>
      </c>
      <c r="B24" s="10" t="s">
        <v>15</v>
      </c>
      <c r="C24" s="9"/>
      <c r="D24" s="9"/>
      <c r="E24" s="9"/>
    </row>
    <row r="25" spans="1:5" ht="15.75" customHeight="1">
      <c r="A25" s="12" t="s">
        <v>358</v>
      </c>
      <c r="B25" s="10">
        <v>7</v>
      </c>
      <c r="C25" s="9"/>
      <c r="D25" s="9"/>
      <c r="E25" s="9"/>
    </row>
    <row r="26" spans="1:5" ht="15.75" customHeight="1">
      <c r="A26" s="12" t="s">
        <v>359</v>
      </c>
      <c r="B26" s="10">
        <v>5</v>
      </c>
      <c r="C26" s="9"/>
      <c r="D26" s="9"/>
      <c r="E26" s="9"/>
    </row>
    <row r="27" spans="1:5" ht="15.75" customHeight="1">
      <c r="A27" s="26" t="s">
        <v>360</v>
      </c>
      <c r="B27" s="14">
        <v>0</v>
      </c>
      <c r="C27" s="25"/>
      <c r="D27" s="25"/>
      <c r="E27" s="25"/>
    </row>
    <row r="28" spans="1:5" ht="15.75" customHeight="1">
      <c r="A28" s="22" t="s">
        <v>30</v>
      </c>
      <c r="B28" s="10"/>
      <c r="C28" s="9"/>
      <c r="D28" s="9"/>
      <c r="E28" s="9"/>
    </row>
    <row r="29" spans="1:5" ht="15.75" customHeight="1">
      <c r="A29" s="23" t="s">
        <v>31</v>
      </c>
      <c r="B29" s="10">
        <v>10</v>
      </c>
      <c r="C29" s="9"/>
      <c r="D29" s="9"/>
      <c r="E29" s="9"/>
    </row>
    <row r="30" spans="1:5" ht="15.75" customHeight="1">
      <c r="A30" s="23" t="s">
        <v>32</v>
      </c>
      <c r="B30" s="10">
        <v>5</v>
      </c>
      <c r="C30" s="9"/>
      <c r="D30" s="9"/>
      <c r="E30" s="9"/>
    </row>
    <row r="31" spans="1:5" ht="15.75" customHeight="1">
      <c r="A31" s="24" t="s">
        <v>33</v>
      </c>
      <c r="B31" s="14">
        <v>0</v>
      </c>
      <c r="C31" s="25"/>
      <c r="D31" s="25"/>
      <c r="E31" s="25"/>
    </row>
    <row r="32" spans="1:5" ht="15.75" customHeight="1">
      <c r="A32" s="177" t="s">
        <v>34</v>
      </c>
      <c r="B32" s="178"/>
      <c r="C32" s="16"/>
      <c r="D32" s="16"/>
      <c r="E32" s="16"/>
    </row>
    <row r="33" spans="1:5" ht="15.75" customHeight="1">
      <c r="A33" s="12" t="s">
        <v>35</v>
      </c>
      <c r="B33" s="10" t="s">
        <v>15</v>
      </c>
      <c r="C33" s="9"/>
      <c r="D33" s="9"/>
      <c r="E33" s="9"/>
    </row>
    <row r="34" spans="1:5" ht="15.75" customHeight="1">
      <c r="A34" s="12" t="s">
        <v>361</v>
      </c>
      <c r="B34" s="10">
        <v>7</v>
      </c>
      <c r="C34" s="9"/>
      <c r="D34" s="9"/>
      <c r="E34" s="9"/>
    </row>
    <row r="35" spans="1:5" ht="15.75" customHeight="1">
      <c r="A35" s="12" t="s">
        <v>111</v>
      </c>
      <c r="B35" s="10">
        <v>5</v>
      </c>
      <c r="C35" s="9"/>
      <c r="D35" s="9"/>
      <c r="E35" s="9"/>
    </row>
    <row r="36" spans="1:5" ht="15.75" customHeight="1">
      <c r="A36" s="24" t="s">
        <v>362</v>
      </c>
      <c r="B36" s="14">
        <v>0</v>
      </c>
      <c r="C36" s="25"/>
      <c r="D36" s="25"/>
      <c r="E36" s="25"/>
    </row>
    <row r="37" spans="1:5" ht="15.75" customHeight="1">
      <c r="A37" s="9" t="s">
        <v>39</v>
      </c>
      <c r="B37" s="10"/>
      <c r="C37" s="16"/>
      <c r="D37" s="16"/>
      <c r="E37" s="16"/>
    </row>
    <row r="38" spans="1:5" ht="15.75" customHeight="1">
      <c r="A38" s="12" t="s">
        <v>26</v>
      </c>
      <c r="B38" s="10" t="s">
        <v>15</v>
      </c>
      <c r="C38" s="9"/>
      <c r="D38" s="9"/>
      <c r="E38" s="9"/>
    </row>
    <row r="39" spans="1:5" ht="15.75" customHeight="1">
      <c r="A39" s="12" t="s">
        <v>363</v>
      </c>
      <c r="B39" s="10">
        <v>7</v>
      </c>
      <c r="C39" s="9"/>
      <c r="D39" s="9"/>
      <c r="E39" s="9"/>
    </row>
    <row r="40" spans="1:5" ht="15.75" customHeight="1">
      <c r="A40" s="12" t="s">
        <v>364</v>
      </c>
      <c r="B40" s="10">
        <v>5</v>
      </c>
      <c r="C40" s="9"/>
      <c r="D40" s="9"/>
      <c r="E40" s="9"/>
    </row>
    <row r="41" spans="1:5" ht="15.75" customHeight="1">
      <c r="A41" s="26" t="s">
        <v>365</v>
      </c>
      <c r="B41" s="14">
        <v>0</v>
      </c>
      <c r="C41" s="25"/>
      <c r="D41" s="25"/>
      <c r="E41" s="25"/>
    </row>
    <row r="42" spans="1:5" ht="15.75" customHeight="1">
      <c r="A42" s="9" t="s">
        <v>419</v>
      </c>
      <c r="B42" s="10"/>
      <c r="C42" s="16"/>
      <c r="D42" s="16"/>
      <c r="E42" s="16"/>
    </row>
    <row r="43" spans="1:5" ht="15.75" customHeight="1">
      <c r="A43" s="12" t="s">
        <v>26</v>
      </c>
      <c r="B43" s="10" t="s">
        <v>15</v>
      </c>
      <c r="C43" s="9"/>
      <c r="D43" s="9"/>
      <c r="E43" s="9"/>
    </row>
    <row r="44" spans="1:5" ht="15.75" customHeight="1">
      <c r="A44" s="12" t="s">
        <v>358</v>
      </c>
      <c r="B44" s="10">
        <v>7</v>
      </c>
      <c r="C44" s="9"/>
      <c r="D44" s="9"/>
      <c r="E44" s="9"/>
    </row>
    <row r="45" spans="1:5" ht="15.75" customHeight="1">
      <c r="A45" s="12" t="s">
        <v>359</v>
      </c>
      <c r="B45" s="10">
        <v>5</v>
      </c>
      <c r="C45" s="9"/>
      <c r="D45" s="9"/>
      <c r="E45" s="9"/>
    </row>
    <row r="46" spans="1:5" ht="15.75" customHeight="1">
      <c r="A46" s="26" t="s">
        <v>365</v>
      </c>
      <c r="B46" s="14">
        <v>0</v>
      </c>
      <c r="C46" s="25"/>
      <c r="D46" s="25"/>
      <c r="E46" s="25"/>
    </row>
    <row r="47" spans="1:5" ht="15.75" customHeight="1">
      <c r="A47" s="9" t="s">
        <v>367</v>
      </c>
      <c r="B47" s="10"/>
      <c r="C47" s="16"/>
      <c r="D47" s="16"/>
      <c r="E47" s="16"/>
    </row>
    <row r="48" spans="1:5" ht="15.75" customHeight="1">
      <c r="A48" s="9" t="s">
        <v>420</v>
      </c>
      <c r="B48" s="10" t="s">
        <v>15</v>
      </c>
      <c r="C48" s="9"/>
      <c r="D48" s="9"/>
      <c r="E48" s="9"/>
    </row>
    <row r="49" spans="1:5" ht="15.75" customHeight="1">
      <c r="A49" s="9" t="s">
        <v>421</v>
      </c>
      <c r="B49" s="10">
        <v>7</v>
      </c>
      <c r="C49" s="9"/>
      <c r="D49" s="9"/>
      <c r="E49" s="9"/>
    </row>
    <row r="50" spans="1:5" ht="15.75" customHeight="1">
      <c r="A50" s="12" t="s">
        <v>370</v>
      </c>
      <c r="B50" s="10">
        <v>5</v>
      </c>
      <c r="C50" s="9"/>
      <c r="D50" s="9"/>
      <c r="E50" s="9"/>
    </row>
    <row r="51" spans="1:5" ht="15.75" customHeight="1">
      <c r="A51" s="12" t="s">
        <v>371</v>
      </c>
      <c r="B51" s="14">
        <v>0</v>
      </c>
      <c r="C51" s="9"/>
      <c r="D51" s="9"/>
      <c r="E51" s="9"/>
    </row>
    <row r="52" spans="1:5" ht="15.75" customHeight="1">
      <c r="A52" s="177" t="s">
        <v>46</v>
      </c>
      <c r="B52" s="176"/>
      <c r="C52" s="16"/>
      <c r="D52" s="16"/>
      <c r="E52" s="11"/>
    </row>
    <row r="53" spans="1:5" ht="16.5" customHeight="1">
      <c r="A53" s="22" t="s">
        <v>422</v>
      </c>
      <c r="B53" s="10" t="s">
        <v>15</v>
      </c>
      <c r="C53" s="9"/>
      <c r="D53" s="9"/>
      <c r="E53" s="13"/>
    </row>
    <row r="54" spans="1:5" ht="16.5" customHeight="1">
      <c r="A54" s="23" t="s">
        <v>128</v>
      </c>
      <c r="B54" s="10">
        <v>5</v>
      </c>
      <c r="C54" s="9"/>
      <c r="D54" s="9"/>
      <c r="E54" s="13"/>
    </row>
    <row r="55" spans="1:5" ht="16.5" customHeight="1">
      <c r="A55" s="24" t="s">
        <v>49</v>
      </c>
      <c r="B55" s="14">
        <v>0</v>
      </c>
      <c r="C55" s="25"/>
      <c r="D55" s="25"/>
      <c r="E55" s="32"/>
    </row>
    <row r="56" spans="1:5" ht="15.75" customHeight="1">
      <c r="A56" s="27" t="s">
        <v>423</v>
      </c>
      <c r="B56" s="28">
        <v>20</v>
      </c>
      <c r="C56" s="29"/>
      <c r="D56" s="29"/>
      <c r="E56" s="30"/>
    </row>
    <row r="57" spans="1:5" ht="15.75" customHeight="1">
      <c r="A57" s="22" t="s">
        <v>424</v>
      </c>
      <c r="B57" s="15"/>
      <c r="C57" s="16"/>
      <c r="D57" s="16"/>
      <c r="E57" s="11"/>
    </row>
    <row r="58" spans="1:5" ht="16.5" customHeight="1">
      <c r="A58" s="181" t="s">
        <v>375</v>
      </c>
      <c r="B58" s="10" t="s">
        <v>15</v>
      </c>
      <c r="C58" s="9"/>
      <c r="D58" s="9"/>
      <c r="E58" s="13"/>
    </row>
    <row r="59" spans="1:5" ht="15.75" customHeight="1">
      <c r="A59" s="181" t="s">
        <v>376</v>
      </c>
      <c r="B59" s="10">
        <v>7</v>
      </c>
      <c r="C59" s="9"/>
      <c r="D59" s="9"/>
      <c r="E59" s="13"/>
    </row>
    <row r="60" spans="1:5" ht="15.75" customHeight="1">
      <c r="A60" s="177" t="s">
        <v>135</v>
      </c>
      <c r="B60" s="176"/>
      <c r="C60" s="16"/>
      <c r="D60" s="16"/>
      <c r="E60" s="11"/>
    </row>
    <row r="61" spans="1:5" ht="15.75" customHeight="1">
      <c r="A61" s="23" t="s">
        <v>136</v>
      </c>
      <c r="B61" s="10" t="s">
        <v>15</v>
      </c>
      <c r="C61" s="9"/>
      <c r="D61" s="9"/>
      <c r="E61" s="13"/>
    </row>
    <row r="62" spans="1:5" ht="15.75" customHeight="1">
      <c r="A62" s="23" t="s">
        <v>137</v>
      </c>
      <c r="B62" s="10">
        <v>5</v>
      </c>
      <c r="C62" s="9"/>
      <c r="D62" s="9"/>
      <c r="E62" s="13"/>
    </row>
    <row r="63" spans="1:5" ht="15.75" customHeight="1">
      <c r="A63" s="23" t="s">
        <v>138</v>
      </c>
      <c r="B63" s="14">
        <v>0</v>
      </c>
      <c r="C63" s="25"/>
      <c r="D63" s="25"/>
      <c r="E63" s="32"/>
    </row>
    <row r="64" spans="1:5" ht="15.75" customHeight="1">
      <c r="A64" s="182" t="s">
        <v>425</v>
      </c>
      <c r="B64" s="28">
        <v>50</v>
      </c>
      <c r="C64" s="29"/>
      <c r="D64" s="29"/>
      <c r="E64" s="30"/>
    </row>
    <row r="65" spans="1:5" ht="15.75" customHeight="1">
      <c r="A65" s="22" t="s">
        <v>60</v>
      </c>
      <c r="B65" s="15"/>
      <c r="C65" s="16"/>
      <c r="D65" s="16"/>
      <c r="E65" s="11"/>
    </row>
    <row r="66" spans="1:5" ht="16.5" customHeight="1">
      <c r="A66" s="23" t="s">
        <v>61</v>
      </c>
      <c r="B66" s="10">
        <v>10</v>
      </c>
      <c r="C66" s="9"/>
      <c r="D66" s="9"/>
      <c r="E66" s="13"/>
    </row>
    <row r="67" spans="1:5" ht="16.5" customHeight="1">
      <c r="A67" s="23" t="s">
        <v>62</v>
      </c>
      <c r="B67" s="10">
        <v>5</v>
      </c>
      <c r="C67" s="9"/>
      <c r="D67" s="9"/>
      <c r="E67" s="13"/>
    </row>
    <row r="68" spans="1:5" ht="16.5" customHeight="1">
      <c r="A68" s="23" t="s">
        <v>63</v>
      </c>
      <c r="B68" s="14">
        <v>0</v>
      </c>
      <c r="C68" s="9"/>
      <c r="D68" s="9"/>
      <c r="E68" s="13"/>
    </row>
    <row r="69" spans="1:5" ht="15.75" customHeight="1">
      <c r="A69" s="177" t="s">
        <v>64</v>
      </c>
      <c r="B69" s="176"/>
      <c r="C69" s="16"/>
      <c r="D69" s="16"/>
      <c r="E69" s="11"/>
    </row>
    <row r="70" spans="1:5" ht="16.5" customHeight="1">
      <c r="A70" s="23" t="s">
        <v>61</v>
      </c>
      <c r="B70" s="10">
        <v>10</v>
      </c>
      <c r="C70" s="9"/>
      <c r="D70" s="9"/>
      <c r="E70" s="13"/>
    </row>
    <row r="71" spans="1:5" ht="16.5" customHeight="1">
      <c r="A71" s="23" t="s">
        <v>62</v>
      </c>
      <c r="B71" s="10">
        <v>5</v>
      </c>
      <c r="C71" s="9"/>
      <c r="D71" s="9"/>
      <c r="E71" s="13"/>
    </row>
    <row r="72" spans="1:5" ht="16.5" customHeight="1">
      <c r="A72" s="24" t="s">
        <v>63</v>
      </c>
      <c r="B72" s="14">
        <v>0</v>
      </c>
      <c r="C72" s="25"/>
      <c r="D72" s="25"/>
      <c r="E72" s="32"/>
    </row>
    <row r="73" spans="1:5" ht="15.75" customHeight="1">
      <c r="A73" s="22" t="s">
        <v>65</v>
      </c>
      <c r="B73" s="15"/>
      <c r="C73" s="16"/>
      <c r="D73" s="16"/>
      <c r="E73" s="11"/>
    </row>
    <row r="74" spans="1:5" ht="16.5" customHeight="1">
      <c r="A74" s="23" t="s">
        <v>61</v>
      </c>
      <c r="B74" s="10">
        <v>10</v>
      </c>
      <c r="C74" s="9"/>
      <c r="D74" s="9"/>
      <c r="E74" s="13"/>
    </row>
    <row r="75" spans="1:5" ht="16.5" customHeight="1">
      <c r="A75" s="23" t="s">
        <v>62</v>
      </c>
      <c r="B75" s="10">
        <v>5</v>
      </c>
      <c r="C75" s="9"/>
      <c r="D75" s="9"/>
      <c r="E75" s="13"/>
    </row>
    <row r="76" spans="1:5" ht="16.5" customHeight="1">
      <c r="A76" s="23" t="s">
        <v>63</v>
      </c>
      <c r="B76" s="14">
        <v>0</v>
      </c>
      <c r="C76" s="9"/>
      <c r="D76" s="9"/>
      <c r="E76" s="13"/>
    </row>
    <row r="77" spans="1:5" ht="15.75" customHeight="1">
      <c r="A77" s="177" t="s">
        <v>66</v>
      </c>
      <c r="B77" s="176"/>
      <c r="C77" s="16"/>
      <c r="D77" s="16"/>
      <c r="E77" s="11"/>
    </row>
    <row r="78" spans="1:5" ht="16.5" customHeight="1">
      <c r="A78" s="23" t="s">
        <v>61</v>
      </c>
      <c r="B78" s="10">
        <v>10</v>
      </c>
      <c r="C78" s="9"/>
      <c r="D78" s="9"/>
      <c r="E78" s="13"/>
    </row>
    <row r="79" spans="1:5" ht="16.5" customHeight="1">
      <c r="A79" s="23" t="s">
        <v>62</v>
      </c>
      <c r="B79" s="10">
        <v>5</v>
      </c>
      <c r="C79" s="9"/>
      <c r="D79" s="9"/>
      <c r="E79" s="13"/>
    </row>
    <row r="80" spans="1:5" ht="16.5" customHeight="1">
      <c r="A80" s="24" t="s">
        <v>63</v>
      </c>
      <c r="B80" s="14">
        <v>0</v>
      </c>
      <c r="C80" s="25"/>
      <c r="D80" s="25"/>
      <c r="E80" s="32"/>
    </row>
    <row r="81" spans="1:5" ht="15.75" customHeight="1">
      <c r="A81" s="22" t="s">
        <v>378</v>
      </c>
      <c r="B81" s="15"/>
      <c r="C81" s="16"/>
      <c r="D81" s="16"/>
      <c r="E81" s="11"/>
    </row>
    <row r="82" spans="1:5" ht="16.5" customHeight="1">
      <c r="A82" s="23" t="s">
        <v>379</v>
      </c>
      <c r="B82" s="10">
        <v>10</v>
      </c>
      <c r="C82" s="9"/>
      <c r="D82" s="9"/>
      <c r="E82" s="13"/>
    </row>
    <row r="83" spans="1:5" ht="16.5" customHeight="1">
      <c r="A83" s="23" t="s">
        <v>153</v>
      </c>
      <c r="B83" s="10">
        <v>0</v>
      </c>
      <c r="C83" s="9"/>
      <c r="D83" s="9"/>
      <c r="E83" s="13"/>
    </row>
    <row r="84" spans="1:5" ht="15.75" customHeight="1">
      <c r="A84" s="182" t="s">
        <v>68</v>
      </c>
      <c r="B84" s="183">
        <v>40</v>
      </c>
      <c r="C84" s="183"/>
      <c r="D84" s="226"/>
      <c r="E84" s="186"/>
    </row>
    <row r="85" spans="1:5" ht="15.75" customHeight="1">
      <c r="A85" s="22" t="s">
        <v>426</v>
      </c>
      <c r="B85" s="15"/>
      <c r="C85" s="16"/>
      <c r="D85" s="16"/>
      <c r="E85" s="11"/>
    </row>
    <row r="86" spans="1:5" ht="15.75" customHeight="1">
      <c r="A86" s="23" t="s">
        <v>74</v>
      </c>
      <c r="B86" s="10">
        <v>10</v>
      </c>
      <c r="C86" s="9"/>
      <c r="D86" s="9"/>
      <c r="E86" s="13"/>
    </row>
    <row r="87" spans="1:5" ht="15.75" customHeight="1">
      <c r="A87" s="23" t="s">
        <v>75</v>
      </c>
      <c r="B87" s="10">
        <v>5</v>
      </c>
      <c r="C87" s="9"/>
      <c r="D87" s="9"/>
      <c r="E87" s="13"/>
    </row>
    <row r="88" spans="1:5" ht="16.5" customHeight="1">
      <c r="A88" s="23" t="s">
        <v>76</v>
      </c>
      <c r="B88" s="14">
        <v>0</v>
      </c>
      <c r="C88" s="9"/>
      <c r="D88" s="9"/>
      <c r="E88" s="13"/>
    </row>
    <row r="89" spans="1:5" ht="16.5" customHeight="1">
      <c r="A89" s="177" t="s">
        <v>77</v>
      </c>
      <c r="B89" s="178"/>
      <c r="C89" s="16"/>
      <c r="D89" s="16"/>
      <c r="E89" s="11"/>
    </row>
    <row r="90" spans="1:5" ht="16.5" customHeight="1">
      <c r="A90" s="23" t="s">
        <v>78</v>
      </c>
      <c r="B90" s="10" t="s">
        <v>15</v>
      </c>
      <c r="C90" s="9"/>
      <c r="D90" s="9"/>
      <c r="E90" s="13"/>
    </row>
    <row r="91" spans="1:5" ht="16.5" customHeight="1">
      <c r="A91" s="23" t="s">
        <v>79</v>
      </c>
      <c r="B91" s="10">
        <v>5</v>
      </c>
      <c r="C91" s="9"/>
      <c r="D91" s="9"/>
      <c r="E91" s="13"/>
    </row>
    <row r="92" spans="1:5" ht="18" customHeight="1">
      <c r="A92" s="24" t="s">
        <v>80</v>
      </c>
      <c r="B92" s="14">
        <v>0</v>
      </c>
      <c r="C92" s="25"/>
      <c r="D92" s="25"/>
      <c r="E92" s="32"/>
    </row>
    <row r="93" spans="1:5" ht="16.5" customHeight="1">
      <c r="A93" s="9" t="s">
        <v>81</v>
      </c>
      <c r="B93" s="10"/>
      <c r="C93" s="16"/>
      <c r="D93" s="16"/>
      <c r="E93" s="11"/>
    </row>
    <row r="94" spans="1:5" ht="15.75" customHeight="1">
      <c r="A94" s="12" t="s">
        <v>82</v>
      </c>
      <c r="B94" s="10">
        <v>10</v>
      </c>
      <c r="C94" s="9"/>
      <c r="D94" s="9"/>
      <c r="E94" s="13"/>
    </row>
    <row r="95" spans="1:5" ht="15.75" customHeight="1">
      <c r="A95" s="12" t="s">
        <v>83</v>
      </c>
      <c r="B95" s="10">
        <v>5</v>
      </c>
      <c r="C95" s="9"/>
      <c r="D95" s="9"/>
      <c r="E95" s="13"/>
    </row>
    <row r="96" spans="1:5" ht="18" customHeight="1">
      <c r="A96" s="24" t="s">
        <v>84</v>
      </c>
      <c r="B96" s="14">
        <v>0</v>
      </c>
      <c r="C96" s="25"/>
      <c r="D96" s="25"/>
      <c r="E96" s="32"/>
    </row>
    <row r="97" spans="1:5" ht="15.75" customHeight="1">
      <c r="A97" s="9" t="s">
        <v>427</v>
      </c>
      <c r="B97" s="10"/>
      <c r="C97" s="16"/>
      <c r="D97" s="16"/>
      <c r="E97" s="11"/>
    </row>
    <row r="98" spans="1:5" ht="16.5" customHeight="1">
      <c r="A98" s="12" t="s">
        <v>428</v>
      </c>
      <c r="B98" s="10">
        <v>10</v>
      </c>
      <c r="C98" s="9"/>
      <c r="D98" s="9"/>
      <c r="E98" s="13"/>
    </row>
    <row r="99" spans="1:5" ht="16.5" customHeight="1">
      <c r="A99" s="12" t="s">
        <v>429</v>
      </c>
      <c r="B99" s="10">
        <v>5</v>
      </c>
      <c r="C99" s="9"/>
      <c r="D99" s="9"/>
      <c r="E99" s="13"/>
    </row>
    <row r="100" spans="1:5" ht="16.5" customHeight="1">
      <c r="A100" s="12" t="s">
        <v>430</v>
      </c>
      <c r="B100" s="14">
        <v>0</v>
      </c>
      <c r="C100" s="9"/>
      <c r="D100" s="9"/>
      <c r="E100" s="13"/>
    </row>
    <row r="101" spans="1:5" ht="15.75" customHeight="1">
      <c r="A101" s="185" t="s">
        <v>89</v>
      </c>
      <c r="B101" s="254"/>
      <c r="C101" s="252"/>
      <c r="D101" s="253"/>
      <c r="E101" s="227"/>
    </row>
    <row r="102" spans="1:5" ht="15.75" customHeight="1">
      <c r="A102" s="3"/>
    </row>
    <row r="103" spans="1:5" ht="15.75" customHeight="1">
      <c r="A103" s="37" t="s">
        <v>431</v>
      </c>
    </row>
    <row r="104" spans="1:5" ht="15.75" customHeight="1">
      <c r="A104" s="3" t="s">
        <v>91</v>
      </c>
      <c r="E104" s="3" t="s">
        <v>92</v>
      </c>
    </row>
    <row r="105" spans="1:5" ht="15.75" customHeight="1">
      <c r="A105" s="3" t="s">
        <v>432</v>
      </c>
    </row>
    <row r="106" spans="1:5" ht="15.75" customHeight="1">
      <c r="A106" s="1" t="s">
        <v>433</v>
      </c>
    </row>
    <row r="107" spans="1:5" ht="15.75" customHeight="1"/>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5">
    <mergeCell ref="A3:E3"/>
    <mergeCell ref="A4:E4"/>
    <mergeCell ref="A10:A11"/>
    <mergeCell ref="C10:E10"/>
    <mergeCell ref="B101:D10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972"/>
  <sheetViews>
    <sheetView workbookViewId="0"/>
  </sheetViews>
  <sheetFormatPr defaultColWidth="11.25" defaultRowHeight="15" customHeight="1"/>
  <cols>
    <col min="1" max="1" width="60.5" customWidth="1"/>
    <col min="2" max="4" width="10.5" customWidth="1"/>
    <col min="5" max="5" width="35" customWidth="1"/>
    <col min="6" max="25" width="10.5" customWidth="1"/>
  </cols>
  <sheetData>
    <row r="1" spans="1:4" ht="15.75" customHeight="1">
      <c r="A1" s="1" t="s">
        <v>0</v>
      </c>
    </row>
    <row r="2" spans="1:4" ht="15.75" customHeight="1">
      <c r="A2" s="2"/>
    </row>
    <row r="3" spans="1:4" ht="15.75" customHeight="1">
      <c r="A3" s="246" t="s">
        <v>434</v>
      </c>
      <c r="B3" s="247"/>
      <c r="C3" s="247"/>
      <c r="D3" s="247"/>
    </row>
    <row r="4" spans="1:4" ht="15.75" customHeight="1">
      <c r="A4" s="248" t="s">
        <v>2</v>
      </c>
      <c r="B4" s="247"/>
      <c r="C4" s="247"/>
      <c r="D4" s="247"/>
    </row>
    <row r="5" spans="1:4" ht="15.75" customHeight="1">
      <c r="A5" s="2"/>
    </row>
    <row r="6" spans="1:4" ht="15.75" customHeight="1">
      <c r="A6" s="3" t="s">
        <v>3</v>
      </c>
    </row>
    <row r="7" spans="1:4" ht="15.75" customHeight="1">
      <c r="A7" s="3" t="s">
        <v>4</v>
      </c>
    </row>
    <row r="8" spans="1:4" ht="15.75" customHeight="1">
      <c r="A8" s="3" t="s">
        <v>5</v>
      </c>
    </row>
    <row r="9" spans="1:4" ht="15.75" customHeight="1">
      <c r="A9" s="3" t="s">
        <v>6</v>
      </c>
    </row>
    <row r="10" spans="1:4" ht="33" customHeight="1">
      <c r="A10" s="273" t="s">
        <v>7</v>
      </c>
      <c r="B10" s="275" t="s">
        <v>9</v>
      </c>
      <c r="C10" s="276" t="s">
        <v>8</v>
      </c>
      <c r="D10" s="253"/>
    </row>
    <row r="11" spans="1:4" ht="15.75" customHeight="1">
      <c r="A11" s="274"/>
      <c r="B11" s="250"/>
      <c r="C11" s="5" t="s">
        <v>10</v>
      </c>
      <c r="D11" s="5" t="s">
        <v>12</v>
      </c>
    </row>
    <row r="12" spans="1:4" ht="15.75" customHeight="1">
      <c r="A12" s="6" t="s">
        <v>435</v>
      </c>
      <c r="B12" s="228">
        <v>90</v>
      </c>
      <c r="C12" s="8"/>
      <c r="D12" s="8"/>
    </row>
    <row r="13" spans="1:4" ht="18.75">
      <c r="A13" s="9" t="s">
        <v>436</v>
      </c>
      <c r="B13" s="10"/>
      <c r="C13" s="11"/>
      <c r="D13" s="11"/>
    </row>
    <row r="14" spans="1:4" ht="16.5" customHeight="1">
      <c r="A14" s="12" t="s">
        <v>14</v>
      </c>
      <c r="B14" s="10" t="s">
        <v>15</v>
      </c>
      <c r="C14" s="13"/>
      <c r="D14" s="13"/>
    </row>
    <row r="15" spans="1:4" ht="16.5" customHeight="1">
      <c r="A15" s="12" t="s">
        <v>303</v>
      </c>
      <c r="B15" s="10">
        <v>7</v>
      </c>
      <c r="C15" s="13"/>
      <c r="D15" s="13"/>
    </row>
    <row r="16" spans="1:4" ht="16.5" customHeight="1">
      <c r="A16" s="12" t="s">
        <v>304</v>
      </c>
      <c r="B16" s="10">
        <v>5</v>
      </c>
      <c r="C16" s="13"/>
      <c r="D16" s="13"/>
    </row>
    <row r="17" spans="1:5" ht="15.75" customHeight="1">
      <c r="A17" s="26" t="s">
        <v>351</v>
      </c>
      <c r="B17" s="14">
        <v>0</v>
      </c>
      <c r="C17" s="13"/>
      <c r="D17" s="13"/>
    </row>
    <row r="18" spans="1:5" ht="15.75" customHeight="1">
      <c r="A18" s="9" t="s">
        <v>437</v>
      </c>
      <c r="B18" s="15"/>
      <c r="C18" s="16"/>
      <c r="D18" s="16"/>
      <c r="E18" s="175"/>
    </row>
    <row r="19" spans="1:5" ht="15.75" customHeight="1">
      <c r="A19" s="12" t="s">
        <v>20</v>
      </c>
      <c r="B19" s="10" t="s">
        <v>15</v>
      </c>
      <c r="C19" s="9"/>
      <c r="D19" s="9"/>
    </row>
    <row r="20" spans="1:5" ht="15.75" customHeight="1">
      <c r="A20" s="12" t="s">
        <v>438</v>
      </c>
      <c r="B20" s="10">
        <v>7</v>
      </c>
      <c r="C20" s="9"/>
      <c r="D20" s="9"/>
    </row>
    <row r="21" spans="1:5" ht="15.75" customHeight="1">
      <c r="A21" s="12" t="s">
        <v>439</v>
      </c>
      <c r="B21" s="10">
        <v>5</v>
      </c>
      <c r="C21" s="9"/>
      <c r="D21" s="9"/>
    </row>
    <row r="22" spans="1:5" ht="15.75" customHeight="1">
      <c r="A22" s="12" t="s">
        <v>440</v>
      </c>
      <c r="B22" s="10">
        <v>0</v>
      </c>
      <c r="C22" s="9"/>
      <c r="D22" s="9"/>
    </row>
    <row r="23" spans="1:5" ht="15.75" customHeight="1">
      <c r="A23" s="16" t="s">
        <v>441</v>
      </c>
      <c r="B23" s="176"/>
      <c r="C23" s="16"/>
      <c r="D23" s="16"/>
    </row>
    <row r="24" spans="1:5" ht="15.75" customHeight="1">
      <c r="A24" s="12" t="s">
        <v>26</v>
      </c>
      <c r="B24" s="10" t="s">
        <v>15</v>
      </c>
      <c r="C24" s="9"/>
      <c r="D24" s="9"/>
    </row>
    <row r="25" spans="1:5" ht="15.75" customHeight="1">
      <c r="A25" s="12" t="s">
        <v>358</v>
      </c>
      <c r="B25" s="10">
        <v>7</v>
      </c>
      <c r="C25" s="9"/>
      <c r="D25" s="9"/>
    </row>
    <row r="26" spans="1:5" ht="15.75" customHeight="1">
      <c r="A26" s="12" t="s">
        <v>359</v>
      </c>
      <c r="B26" s="10">
        <v>5</v>
      </c>
      <c r="C26" s="9"/>
      <c r="D26" s="9"/>
    </row>
    <row r="27" spans="1:5" ht="15.75" customHeight="1">
      <c r="A27" s="26" t="s">
        <v>360</v>
      </c>
      <c r="B27" s="14">
        <v>0</v>
      </c>
      <c r="C27" s="25"/>
      <c r="D27" s="25"/>
    </row>
    <row r="28" spans="1:5" ht="15.75" customHeight="1">
      <c r="A28" s="22" t="s">
        <v>30</v>
      </c>
      <c r="B28" s="10"/>
      <c r="C28" s="9"/>
      <c r="D28" s="9"/>
    </row>
    <row r="29" spans="1:5" ht="15.75" customHeight="1">
      <c r="A29" s="23" t="s">
        <v>31</v>
      </c>
      <c r="B29" s="10">
        <v>10</v>
      </c>
      <c r="C29" s="9"/>
      <c r="D29" s="9"/>
    </row>
    <row r="30" spans="1:5" ht="15.75" customHeight="1">
      <c r="A30" s="23" t="s">
        <v>32</v>
      </c>
      <c r="B30" s="10">
        <v>5</v>
      </c>
      <c r="C30" s="9"/>
      <c r="D30" s="9"/>
    </row>
    <row r="31" spans="1:5" ht="15.75" customHeight="1">
      <c r="A31" s="24" t="s">
        <v>33</v>
      </c>
      <c r="B31" s="14">
        <v>0</v>
      </c>
      <c r="C31" s="25"/>
      <c r="D31" s="25"/>
    </row>
    <row r="32" spans="1:5" ht="15.75" customHeight="1">
      <c r="A32" s="177" t="s">
        <v>34</v>
      </c>
      <c r="B32" s="178"/>
      <c r="C32" s="16"/>
      <c r="D32" s="16"/>
    </row>
    <row r="33" spans="1:4" ht="15.75" customHeight="1">
      <c r="A33" s="12" t="s">
        <v>35</v>
      </c>
      <c r="B33" s="10" t="s">
        <v>15</v>
      </c>
      <c r="C33" s="9"/>
      <c r="D33" s="9"/>
    </row>
    <row r="34" spans="1:4" ht="15.75" customHeight="1">
      <c r="A34" s="12" t="s">
        <v>361</v>
      </c>
      <c r="B34" s="10">
        <v>7</v>
      </c>
      <c r="C34" s="9"/>
      <c r="D34" s="9"/>
    </row>
    <row r="35" spans="1:4" ht="15.75" customHeight="1">
      <c r="A35" s="12" t="s">
        <v>111</v>
      </c>
      <c r="B35" s="10">
        <v>5</v>
      </c>
      <c r="C35" s="9"/>
      <c r="D35" s="9"/>
    </row>
    <row r="36" spans="1:4" ht="15.75" customHeight="1">
      <c r="A36" s="24" t="s">
        <v>362</v>
      </c>
      <c r="B36" s="14">
        <v>0</v>
      </c>
      <c r="C36" s="25"/>
      <c r="D36" s="25"/>
    </row>
    <row r="37" spans="1:4" ht="15.75" customHeight="1">
      <c r="A37" s="9" t="s">
        <v>39</v>
      </c>
      <c r="B37" s="10"/>
      <c r="C37" s="16"/>
      <c r="D37" s="16"/>
    </row>
    <row r="38" spans="1:4" ht="15.75" customHeight="1">
      <c r="A38" s="12" t="s">
        <v>26</v>
      </c>
      <c r="B38" s="10" t="s">
        <v>15</v>
      </c>
      <c r="C38" s="9"/>
      <c r="D38" s="9"/>
    </row>
    <row r="39" spans="1:4" ht="15.75" customHeight="1">
      <c r="A39" s="12" t="s">
        <v>363</v>
      </c>
      <c r="B39" s="10">
        <v>7</v>
      </c>
      <c r="C39" s="9"/>
      <c r="D39" s="9"/>
    </row>
    <row r="40" spans="1:4" ht="15.75" customHeight="1">
      <c r="A40" s="12" t="s">
        <v>364</v>
      </c>
      <c r="B40" s="10">
        <v>5</v>
      </c>
      <c r="C40" s="9"/>
      <c r="D40" s="9"/>
    </row>
    <row r="41" spans="1:4" ht="15.75" customHeight="1">
      <c r="A41" s="26" t="s">
        <v>365</v>
      </c>
      <c r="B41" s="14">
        <v>0</v>
      </c>
      <c r="C41" s="25"/>
      <c r="D41" s="25"/>
    </row>
    <row r="42" spans="1:4" ht="15.75" customHeight="1">
      <c r="A42" s="9" t="s">
        <v>442</v>
      </c>
      <c r="B42" s="10"/>
      <c r="C42" s="16"/>
      <c r="D42" s="16"/>
    </row>
    <row r="43" spans="1:4" ht="15.75" customHeight="1">
      <c r="A43" s="12" t="s">
        <v>26</v>
      </c>
      <c r="B43" s="10" t="s">
        <v>15</v>
      </c>
      <c r="C43" s="9"/>
      <c r="D43" s="9"/>
    </row>
    <row r="44" spans="1:4" ht="15.75" customHeight="1">
      <c r="A44" s="12" t="s">
        <v>358</v>
      </c>
      <c r="B44" s="10">
        <v>7</v>
      </c>
      <c r="C44" s="9"/>
      <c r="D44" s="9"/>
    </row>
    <row r="45" spans="1:4" ht="15.75" customHeight="1">
      <c r="A45" s="12" t="s">
        <v>359</v>
      </c>
      <c r="B45" s="10">
        <v>5</v>
      </c>
      <c r="C45" s="9"/>
      <c r="D45" s="9"/>
    </row>
    <row r="46" spans="1:4" ht="15.75" customHeight="1">
      <c r="A46" s="26" t="s">
        <v>365</v>
      </c>
      <c r="B46" s="14">
        <v>0</v>
      </c>
      <c r="C46" s="25"/>
      <c r="D46" s="25"/>
    </row>
    <row r="47" spans="1:4" ht="15.75" customHeight="1">
      <c r="A47" s="9" t="s">
        <v>443</v>
      </c>
      <c r="B47" s="10"/>
      <c r="C47" s="16"/>
      <c r="D47" s="16"/>
    </row>
    <row r="48" spans="1:4" ht="15.75" customHeight="1">
      <c r="A48" s="9" t="s">
        <v>444</v>
      </c>
      <c r="B48" s="10" t="s">
        <v>15</v>
      </c>
      <c r="C48" s="9"/>
      <c r="D48" s="9"/>
    </row>
    <row r="49" spans="1:4" ht="15.75" customHeight="1">
      <c r="A49" s="9" t="s">
        <v>445</v>
      </c>
      <c r="B49" s="10">
        <v>7</v>
      </c>
      <c r="C49" s="9"/>
      <c r="D49" s="9"/>
    </row>
    <row r="50" spans="1:4" ht="15.75" customHeight="1">
      <c r="A50" s="12" t="s">
        <v>370</v>
      </c>
      <c r="B50" s="10">
        <v>5</v>
      </c>
      <c r="C50" s="9"/>
      <c r="D50" s="9"/>
    </row>
    <row r="51" spans="1:4" ht="15.75" customHeight="1">
      <c r="A51" s="12" t="s">
        <v>371</v>
      </c>
      <c r="B51" s="14">
        <v>0</v>
      </c>
      <c r="C51" s="9"/>
      <c r="D51" s="9"/>
    </row>
    <row r="52" spans="1:4" ht="15.75" customHeight="1">
      <c r="A52" s="177" t="s">
        <v>46</v>
      </c>
      <c r="B52" s="176"/>
      <c r="C52" s="16"/>
      <c r="D52" s="11"/>
    </row>
    <row r="53" spans="1:4" ht="16.5" customHeight="1">
      <c r="A53" s="22" t="s">
        <v>446</v>
      </c>
      <c r="B53" s="10" t="s">
        <v>15</v>
      </c>
      <c r="C53" s="9"/>
      <c r="D53" s="13"/>
    </row>
    <row r="54" spans="1:4" ht="16.5" customHeight="1">
      <c r="A54" s="24" t="s">
        <v>447</v>
      </c>
      <c r="B54" s="14">
        <v>0</v>
      </c>
      <c r="C54" s="25"/>
      <c r="D54" s="32"/>
    </row>
    <row r="55" spans="1:4" ht="15.75" customHeight="1">
      <c r="A55" s="182" t="s">
        <v>448</v>
      </c>
      <c r="B55" s="28">
        <v>50</v>
      </c>
      <c r="C55" s="29"/>
      <c r="D55" s="30"/>
    </row>
    <row r="56" spans="1:4" ht="15.75" customHeight="1">
      <c r="A56" s="22" t="s">
        <v>449</v>
      </c>
      <c r="B56" s="15"/>
      <c r="C56" s="16"/>
      <c r="D56" s="11"/>
    </row>
    <row r="57" spans="1:4" ht="16.5" customHeight="1">
      <c r="A57" s="23" t="s">
        <v>61</v>
      </c>
      <c r="B57" s="10">
        <v>10</v>
      </c>
      <c r="C57" s="9"/>
      <c r="D57" s="13"/>
    </row>
    <row r="58" spans="1:4" ht="16.5" customHeight="1">
      <c r="A58" s="23" t="s">
        <v>62</v>
      </c>
      <c r="B58" s="10">
        <v>5</v>
      </c>
      <c r="C58" s="9"/>
      <c r="D58" s="13"/>
    </row>
    <row r="59" spans="1:4" ht="16.5" customHeight="1">
      <c r="A59" s="23" t="s">
        <v>63</v>
      </c>
      <c r="B59" s="14">
        <v>0</v>
      </c>
      <c r="C59" s="9"/>
      <c r="D59" s="13"/>
    </row>
    <row r="60" spans="1:4" ht="15.75" customHeight="1">
      <c r="A60" s="229" t="s">
        <v>450</v>
      </c>
      <c r="B60" s="176"/>
      <c r="C60" s="16"/>
      <c r="D60" s="11"/>
    </row>
    <row r="61" spans="1:4" ht="16.5" customHeight="1">
      <c r="A61" s="23" t="s">
        <v>61</v>
      </c>
      <c r="B61" s="10">
        <v>10</v>
      </c>
      <c r="C61" s="9"/>
      <c r="D61" s="13"/>
    </row>
    <row r="62" spans="1:4" ht="16.5" customHeight="1">
      <c r="A62" s="23" t="s">
        <v>62</v>
      </c>
      <c r="B62" s="10">
        <v>5</v>
      </c>
      <c r="C62" s="9"/>
      <c r="D62" s="13"/>
    </row>
    <row r="63" spans="1:4" ht="16.5" customHeight="1">
      <c r="A63" s="24" t="s">
        <v>63</v>
      </c>
      <c r="B63" s="14">
        <v>0</v>
      </c>
      <c r="C63" s="25"/>
      <c r="D63" s="32"/>
    </row>
    <row r="64" spans="1:4" ht="15.75" customHeight="1">
      <c r="A64" s="230" t="s">
        <v>451</v>
      </c>
      <c r="B64" s="15"/>
      <c r="C64" s="16"/>
      <c r="D64" s="11"/>
    </row>
    <row r="65" spans="1:4" ht="16.5" customHeight="1">
      <c r="A65" s="23" t="s">
        <v>61</v>
      </c>
      <c r="B65" s="10">
        <v>10</v>
      </c>
      <c r="C65" s="9"/>
      <c r="D65" s="13"/>
    </row>
    <row r="66" spans="1:4" ht="16.5" customHeight="1">
      <c r="A66" s="23" t="s">
        <v>62</v>
      </c>
      <c r="B66" s="10">
        <v>5</v>
      </c>
      <c r="C66" s="9"/>
      <c r="D66" s="13"/>
    </row>
    <row r="67" spans="1:4" ht="16.5" customHeight="1">
      <c r="A67" s="23" t="s">
        <v>63</v>
      </c>
      <c r="B67" s="14">
        <v>0</v>
      </c>
      <c r="C67" s="9"/>
      <c r="D67" s="13"/>
    </row>
    <row r="68" spans="1:4" ht="15.75" customHeight="1">
      <c r="A68" s="177" t="s">
        <v>452</v>
      </c>
      <c r="B68" s="176"/>
      <c r="C68" s="16"/>
      <c r="D68" s="11"/>
    </row>
    <row r="69" spans="1:4" ht="16.5" customHeight="1">
      <c r="A69" s="23" t="s">
        <v>61</v>
      </c>
      <c r="B69" s="10">
        <v>10</v>
      </c>
      <c r="C69" s="9"/>
      <c r="D69" s="13"/>
    </row>
    <row r="70" spans="1:4" ht="16.5" customHeight="1">
      <c r="A70" s="23" t="s">
        <v>62</v>
      </c>
      <c r="B70" s="10">
        <v>5</v>
      </c>
      <c r="C70" s="9"/>
      <c r="D70" s="13"/>
    </row>
    <row r="71" spans="1:4" ht="16.5" customHeight="1">
      <c r="A71" s="24" t="s">
        <v>63</v>
      </c>
      <c r="B71" s="14">
        <v>0</v>
      </c>
      <c r="C71" s="25"/>
      <c r="D71" s="32"/>
    </row>
    <row r="72" spans="1:4" ht="15.75" customHeight="1">
      <c r="A72" s="22" t="s">
        <v>378</v>
      </c>
      <c r="B72" s="15"/>
      <c r="C72" s="16"/>
      <c r="D72" s="11"/>
    </row>
    <row r="73" spans="1:4" ht="16.5" customHeight="1">
      <c r="A73" s="23" t="s">
        <v>379</v>
      </c>
      <c r="B73" s="10">
        <v>10</v>
      </c>
      <c r="C73" s="9"/>
      <c r="D73" s="13"/>
    </row>
    <row r="74" spans="1:4" ht="16.5" customHeight="1">
      <c r="A74" s="23" t="s">
        <v>153</v>
      </c>
      <c r="B74" s="10">
        <v>0</v>
      </c>
      <c r="C74" s="9"/>
      <c r="D74" s="13"/>
    </row>
    <row r="75" spans="1:4" ht="15.75" customHeight="1">
      <c r="A75" s="182" t="s">
        <v>68</v>
      </c>
      <c r="B75" s="183">
        <v>30</v>
      </c>
      <c r="C75" s="183"/>
      <c r="D75" s="186"/>
    </row>
    <row r="76" spans="1:4" ht="15.75" customHeight="1">
      <c r="A76" s="22" t="s">
        <v>453</v>
      </c>
      <c r="B76" s="15"/>
      <c r="C76" s="16"/>
      <c r="D76" s="11"/>
    </row>
    <row r="77" spans="1:4" ht="15.75" customHeight="1">
      <c r="A77" s="23" t="s">
        <v>454</v>
      </c>
      <c r="B77" s="10">
        <v>10</v>
      </c>
      <c r="C77" s="9"/>
      <c r="D77" s="13"/>
    </row>
    <row r="78" spans="1:4" ht="15.75" customHeight="1">
      <c r="A78" s="23" t="s">
        <v>455</v>
      </c>
      <c r="B78" s="10">
        <v>5</v>
      </c>
      <c r="C78" s="9"/>
      <c r="D78" s="13"/>
    </row>
    <row r="79" spans="1:4" ht="16.5" customHeight="1">
      <c r="A79" s="23" t="s">
        <v>456</v>
      </c>
      <c r="B79" s="14">
        <v>0</v>
      </c>
      <c r="C79" s="9"/>
      <c r="D79" s="13"/>
    </row>
    <row r="80" spans="1:4" ht="16.5" customHeight="1">
      <c r="A80" s="177" t="s">
        <v>457</v>
      </c>
      <c r="B80" s="178"/>
      <c r="C80" s="16"/>
      <c r="D80" s="11"/>
    </row>
    <row r="81" spans="1:4" ht="16.5" customHeight="1">
      <c r="A81" s="23" t="s">
        <v>458</v>
      </c>
      <c r="B81" s="10">
        <v>10</v>
      </c>
      <c r="C81" s="9"/>
      <c r="D81" s="13"/>
    </row>
    <row r="82" spans="1:4" ht="16.5" customHeight="1">
      <c r="A82" s="23" t="s">
        <v>459</v>
      </c>
      <c r="B82" s="10">
        <v>6</v>
      </c>
      <c r="C82" s="9"/>
      <c r="D82" s="13"/>
    </row>
    <row r="83" spans="1:4" ht="18" customHeight="1">
      <c r="A83" s="23" t="s">
        <v>460</v>
      </c>
      <c r="B83" s="10">
        <v>4</v>
      </c>
      <c r="C83" s="9"/>
      <c r="D83" s="13"/>
    </row>
    <row r="84" spans="1:4" ht="18" customHeight="1">
      <c r="A84" s="24" t="s">
        <v>461</v>
      </c>
      <c r="B84" s="14">
        <v>0</v>
      </c>
      <c r="C84" s="25"/>
      <c r="D84" s="32"/>
    </row>
    <row r="85" spans="1:4" ht="26.25" customHeight="1">
      <c r="A85" s="9" t="s">
        <v>462</v>
      </c>
      <c r="B85" s="10"/>
      <c r="C85" s="16"/>
      <c r="D85" s="11"/>
    </row>
    <row r="86" spans="1:4" ht="15.75" customHeight="1">
      <c r="A86" s="12" t="s">
        <v>463</v>
      </c>
      <c r="B86" s="10">
        <v>10</v>
      </c>
      <c r="C86" s="9"/>
      <c r="D86" s="13"/>
    </row>
    <row r="87" spans="1:4" ht="15.75" customHeight="1">
      <c r="A87" s="12" t="s">
        <v>464</v>
      </c>
      <c r="B87" s="10">
        <v>5</v>
      </c>
      <c r="C87" s="9"/>
      <c r="D87" s="13"/>
    </row>
    <row r="88" spans="1:4" ht="18" customHeight="1">
      <c r="A88" s="24" t="s">
        <v>465</v>
      </c>
      <c r="B88" s="14">
        <v>0</v>
      </c>
      <c r="C88" s="25"/>
      <c r="D88" s="32"/>
    </row>
    <row r="89" spans="1:4" ht="15.75" customHeight="1">
      <c r="A89" s="231" t="s">
        <v>89</v>
      </c>
      <c r="B89" s="231">
        <v>170</v>
      </c>
      <c r="C89" s="232"/>
      <c r="D89" s="232"/>
    </row>
    <row r="90" spans="1:4" ht="15.75" customHeight="1">
      <c r="A90" s="3"/>
    </row>
    <row r="91" spans="1:4" ht="15.75" customHeight="1">
      <c r="A91" s="37" t="s">
        <v>466</v>
      </c>
    </row>
    <row r="92" spans="1:4" ht="15.75" customHeight="1">
      <c r="A92" s="3" t="s">
        <v>91</v>
      </c>
      <c r="B92" s="3" t="s">
        <v>92</v>
      </c>
    </row>
    <row r="93" spans="1:4" ht="15.75" customHeight="1">
      <c r="A93" s="3" t="s">
        <v>467</v>
      </c>
    </row>
    <row r="94" spans="1:4" ht="15.75" customHeight="1">
      <c r="A94" s="1" t="s">
        <v>468</v>
      </c>
    </row>
    <row r="95" spans="1:4" ht="15.75" customHeight="1"/>
    <row r="96" spans="1:4"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5">
    <mergeCell ref="A3:D3"/>
    <mergeCell ref="A4:D4"/>
    <mergeCell ref="A10:A11"/>
    <mergeCell ref="B10:B11"/>
    <mergeCell ref="C10: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87"/>
  <sheetViews>
    <sheetView workbookViewId="0"/>
  </sheetViews>
  <sheetFormatPr defaultColWidth="11.25" defaultRowHeight="15" customHeight="1"/>
  <cols>
    <col min="1" max="1" width="74.5" customWidth="1"/>
  </cols>
  <sheetData>
    <row r="1" spans="1:26">
      <c r="A1" s="38" t="s">
        <v>0</v>
      </c>
      <c r="B1" s="39"/>
      <c r="C1" s="39"/>
      <c r="D1" s="39"/>
      <c r="E1" s="39"/>
      <c r="F1" s="39"/>
      <c r="G1" s="39"/>
      <c r="H1" s="39"/>
      <c r="I1" s="39"/>
      <c r="J1" s="39"/>
      <c r="K1" s="39"/>
      <c r="L1" s="39"/>
      <c r="M1" s="39"/>
      <c r="N1" s="39"/>
      <c r="O1" s="39"/>
      <c r="P1" s="39"/>
      <c r="Q1" s="39"/>
      <c r="R1" s="39"/>
      <c r="S1" s="39"/>
      <c r="T1" s="39"/>
      <c r="U1" s="39"/>
      <c r="V1" s="39"/>
      <c r="W1" s="39"/>
      <c r="X1" s="39"/>
      <c r="Y1" s="39"/>
      <c r="Z1" s="39"/>
    </row>
    <row r="2" spans="1:26">
      <c r="A2" s="255"/>
      <c r="B2" s="247"/>
      <c r="C2" s="247"/>
      <c r="D2" s="247"/>
      <c r="E2" s="247"/>
      <c r="F2" s="39"/>
      <c r="G2" s="39"/>
      <c r="H2" s="39"/>
      <c r="I2" s="39"/>
      <c r="J2" s="39"/>
      <c r="K2" s="39"/>
      <c r="L2" s="39"/>
      <c r="M2" s="39"/>
      <c r="N2" s="39"/>
      <c r="O2" s="39"/>
      <c r="P2" s="39"/>
      <c r="Q2" s="39"/>
      <c r="R2" s="39"/>
      <c r="S2" s="39"/>
      <c r="T2" s="39"/>
      <c r="U2" s="39"/>
      <c r="V2" s="39"/>
      <c r="W2" s="39"/>
      <c r="X2" s="39"/>
      <c r="Y2" s="39"/>
      <c r="Z2" s="39"/>
    </row>
    <row r="3" spans="1:26" ht="15" customHeight="1">
      <c r="A3" s="277" t="s">
        <v>469</v>
      </c>
      <c r="B3" s="247"/>
      <c r="C3" s="247"/>
      <c r="D3" s="247"/>
      <c r="E3" s="247"/>
      <c r="F3" s="39"/>
      <c r="G3" s="39"/>
      <c r="H3" s="39"/>
      <c r="I3" s="39"/>
      <c r="J3" s="39"/>
      <c r="K3" s="39"/>
      <c r="L3" s="39"/>
      <c r="M3" s="39"/>
      <c r="N3" s="39"/>
      <c r="O3" s="39"/>
      <c r="P3" s="39"/>
      <c r="Q3" s="39"/>
      <c r="R3" s="39"/>
      <c r="S3" s="39"/>
      <c r="T3" s="39"/>
      <c r="U3" s="39"/>
      <c r="V3" s="39"/>
      <c r="W3" s="39"/>
      <c r="X3" s="39"/>
      <c r="Y3" s="39"/>
      <c r="Z3" s="39"/>
    </row>
    <row r="4" spans="1:26">
      <c r="A4" s="278" t="s">
        <v>2</v>
      </c>
      <c r="B4" s="247"/>
      <c r="C4" s="247"/>
      <c r="D4" s="247"/>
      <c r="E4" s="247"/>
      <c r="F4" s="39"/>
      <c r="G4" s="39"/>
      <c r="H4" s="39"/>
      <c r="I4" s="39"/>
      <c r="J4" s="39"/>
      <c r="K4" s="39"/>
      <c r="L4" s="39"/>
      <c r="M4" s="39"/>
      <c r="N4" s="39"/>
      <c r="O4" s="39"/>
      <c r="P4" s="39"/>
      <c r="Q4" s="39"/>
      <c r="R4" s="39"/>
      <c r="S4" s="39"/>
      <c r="T4" s="39"/>
      <c r="U4" s="39"/>
      <c r="V4" s="39"/>
      <c r="W4" s="39"/>
      <c r="X4" s="39"/>
      <c r="Y4" s="39"/>
      <c r="Z4" s="39"/>
    </row>
    <row r="5" spans="1:26">
      <c r="A5" s="40"/>
      <c r="B5" s="39"/>
      <c r="C5" s="39"/>
      <c r="D5" s="39"/>
      <c r="E5" s="39"/>
      <c r="F5" s="39"/>
      <c r="G5" s="39"/>
      <c r="H5" s="39"/>
      <c r="I5" s="39"/>
      <c r="J5" s="39"/>
      <c r="K5" s="39"/>
      <c r="L5" s="39"/>
      <c r="M5" s="39"/>
      <c r="N5" s="39"/>
      <c r="O5" s="39"/>
      <c r="P5" s="39"/>
      <c r="Q5" s="39"/>
      <c r="R5" s="39"/>
      <c r="S5" s="39"/>
      <c r="T5" s="39"/>
      <c r="U5" s="39"/>
      <c r="V5" s="39"/>
      <c r="W5" s="39"/>
      <c r="X5" s="39"/>
      <c r="Y5" s="39"/>
      <c r="Z5" s="39"/>
    </row>
    <row r="6" spans="1:26">
      <c r="A6" s="76" t="s">
        <v>3</v>
      </c>
      <c r="B6" s="39"/>
      <c r="C6" s="39"/>
      <c r="D6" s="39"/>
      <c r="E6" s="39"/>
      <c r="F6" s="39"/>
      <c r="G6" s="39"/>
      <c r="H6" s="39"/>
      <c r="I6" s="39"/>
      <c r="J6" s="39"/>
      <c r="K6" s="39"/>
      <c r="L6" s="39"/>
      <c r="M6" s="39"/>
      <c r="N6" s="39"/>
      <c r="O6" s="39"/>
      <c r="P6" s="39"/>
      <c r="Q6" s="39"/>
      <c r="R6" s="39"/>
      <c r="S6" s="39"/>
      <c r="T6" s="39"/>
      <c r="U6" s="39"/>
      <c r="V6" s="39"/>
      <c r="W6" s="39"/>
      <c r="X6" s="39"/>
      <c r="Y6" s="39"/>
      <c r="Z6" s="39"/>
    </row>
    <row r="7" spans="1:26">
      <c r="A7" s="76" t="s">
        <v>4</v>
      </c>
      <c r="B7" s="39"/>
      <c r="C7" s="39"/>
      <c r="D7" s="39"/>
      <c r="E7" s="39"/>
      <c r="F7" s="39"/>
      <c r="G7" s="39"/>
      <c r="H7" s="39"/>
      <c r="I7" s="39"/>
      <c r="J7" s="39"/>
      <c r="K7" s="39"/>
      <c r="L7" s="39"/>
      <c r="M7" s="39"/>
      <c r="N7" s="39"/>
      <c r="O7" s="39"/>
      <c r="P7" s="39"/>
      <c r="Q7" s="39"/>
      <c r="R7" s="39"/>
      <c r="S7" s="39"/>
      <c r="T7" s="39"/>
      <c r="U7" s="39"/>
      <c r="V7" s="39"/>
      <c r="W7" s="39"/>
      <c r="X7" s="39"/>
      <c r="Y7" s="39"/>
      <c r="Z7" s="39"/>
    </row>
    <row r="8" spans="1:26">
      <c r="A8" s="76" t="s">
        <v>97</v>
      </c>
      <c r="B8" s="39"/>
      <c r="C8" s="39"/>
      <c r="D8" s="39"/>
      <c r="E8" s="39"/>
      <c r="F8" s="39"/>
      <c r="G8" s="39"/>
      <c r="H8" s="39"/>
      <c r="I8" s="39"/>
      <c r="J8" s="39"/>
      <c r="K8" s="39"/>
      <c r="L8" s="39"/>
      <c r="M8" s="39"/>
      <c r="N8" s="39"/>
      <c r="O8" s="39"/>
      <c r="P8" s="39"/>
      <c r="Q8" s="39"/>
      <c r="R8" s="39"/>
      <c r="S8" s="39"/>
      <c r="T8" s="39"/>
      <c r="U8" s="39"/>
      <c r="V8" s="39"/>
      <c r="W8" s="39"/>
      <c r="X8" s="39"/>
      <c r="Y8" s="39"/>
      <c r="Z8" s="39"/>
    </row>
    <row r="9" spans="1:26">
      <c r="A9" s="150" t="s">
        <v>6</v>
      </c>
      <c r="B9" s="73"/>
      <c r="C9" s="73"/>
      <c r="D9" s="73"/>
      <c r="E9" s="73"/>
      <c r="F9" s="39"/>
      <c r="G9" s="39"/>
      <c r="H9" s="39"/>
      <c r="I9" s="39"/>
      <c r="J9" s="39"/>
      <c r="K9" s="39"/>
      <c r="L9" s="39"/>
      <c r="M9" s="39"/>
      <c r="N9" s="39"/>
      <c r="O9" s="39"/>
      <c r="P9" s="39"/>
      <c r="Q9" s="39"/>
      <c r="R9" s="39"/>
      <c r="S9" s="39"/>
      <c r="T9" s="39"/>
      <c r="U9" s="39"/>
      <c r="V9" s="39"/>
      <c r="W9" s="39"/>
      <c r="X9" s="39"/>
      <c r="Y9" s="39"/>
      <c r="Z9" s="39"/>
    </row>
    <row r="10" spans="1:26">
      <c r="A10" s="270" t="s">
        <v>7</v>
      </c>
      <c r="B10" s="171"/>
      <c r="C10" s="271" t="s">
        <v>8</v>
      </c>
      <c r="D10" s="263"/>
      <c r="E10" s="264"/>
      <c r="F10" s="39"/>
      <c r="G10" s="39"/>
      <c r="H10" s="39"/>
      <c r="I10" s="39"/>
      <c r="J10" s="39"/>
      <c r="K10" s="39"/>
      <c r="L10" s="39"/>
      <c r="M10" s="39"/>
      <c r="N10" s="39"/>
      <c r="O10" s="39"/>
      <c r="P10" s="39"/>
      <c r="Q10" s="39"/>
      <c r="R10" s="39"/>
      <c r="S10" s="39"/>
      <c r="T10" s="39"/>
      <c r="U10" s="39"/>
      <c r="V10" s="39"/>
      <c r="W10" s="39"/>
      <c r="X10" s="39"/>
      <c r="Y10" s="39"/>
      <c r="Z10" s="39"/>
    </row>
    <row r="11" spans="1:26">
      <c r="A11" s="258"/>
      <c r="B11" s="233" t="s">
        <v>9</v>
      </c>
      <c r="C11" s="233" t="s">
        <v>10</v>
      </c>
      <c r="D11" s="233" t="s">
        <v>11</v>
      </c>
      <c r="E11" s="233" t="s">
        <v>12</v>
      </c>
      <c r="F11" s="39"/>
      <c r="G11" s="39"/>
      <c r="H11" s="39"/>
      <c r="I11" s="39"/>
      <c r="J11" s="39"/>
      <c r="K11" s="39"/>
      <c r="L11" s="39"/>
      <c r="M11" s="39"/>
      <c r="N11" s="39"/>
      <c r="O11" s="39"/>
      <c r="P11" s="39"/>
      <c r="Q11" s="39"/>
      <c r="R11" s="39"/>
      <c r="S11" s="39"/>
      <c r="T11" s="39"/>
      <c r="U11" s="39"/>
      <c r="V11" s="39"/>
      <c r="W11" s="39"/>
      <c r="X11" s="39"/>
      <c r="Y11" s="39"/>
      <c r="Z11" s="39"/>
    </row>
    <row r="12" spans="1:26">
      <c r="A12" s="234" t="s">
        <v>470</v>
      </c>
      <c r="B12" s="235">
        <v>35</v>
      </c>
      <c r="C12" s="236"/>
      <c r="D12" s="236"/>
      <c r="E12" s="236"/>
      <c r="F12" s="39"/>
      <c r="G12" s="39"/>
      <c r="H12" s="39"/>
      <c r="I12" s="39"/>
      <c r="J12" s="39"/>
      <c r="K12" s="39"/>
      <c r="L12" s="39"/>
      <c r="M12" s="39"/>
      <c r="N12" s="39"/>
      <c r="O12" s="39"/>
      <c r="P12" s="39"/>
      <c r="Q12" s="39"/>
      <c r="R12" s="39"/>
      <c r="S12" s="39"/>
      <c r="T12" s="39"/>
      <c r="U12" s="39"/>
      <c r="V12" s="39"/>
      <c r="W12" s="39"/>
      <c r="X12" s="39"/>
      <c r="Y12" s="39"/>
      <c r="Z12" s="39"/>
    </row>
    <row r="13" spans="1:26">
      <c r="A13" s="237" t="s">
        <v>471</v>
      </c>
      <c r="B13" s="171"/>
      <c r="C13" s="171"/>
      <c r="D13" s="171"/>
      <c r="E13" s="171"/>
      <c r="F13" s="39"/>
      <c r="G13" s="39"/>
      <c r="H13" s="39"/>
      <c r="I13" s="39"/>
      <c r="J13" s="39"/>
      <c r="K13" s="39"/>
      <c r="L13" s="39"/>
      <c r="M13" s="39"/>
      <c r="N13" s="39"/>
      <c r="O13" s="39"/>
      <c r="P13" s="39"/>
      <c r="Q13" s="39"/>
      <c r="R13" s="39"/>
      <c r="S13" s="39"/>
      <c r="T13" s="39"/>
      <c r="U13" s="39"/>
      <c r="V13" s="39"/>
      <c r="W13" s="39"/>
      <c r="X13" s="39"/>
      <c r="Y13" s="39"/>
      <c r="Z13" s="39"/>
    </row>
    <row r="14" spans="1:26">
      <c r="A14" s="34" t="s">
        <v>14</v>
      </c>
      <c r="B14" s="223">
        <v>5</v>
      </c>
      <c r="C14" s="171"/>
      <c r="D14" s="171"/>
      <c r="E14" s="171"/>
      <c r="F14" s="39"/>
      <c r="G14" s="39"/>
      <c r="H14" s="39"/>
      <c r="I14" s="39"/>
      <c r="J14" s="39"/>
      <c r="K14" s="39"/>
      <c r="L14" s="39"/>
      <c r="M14" s="39"/>
      <c r="N14" s="39"/>
      <c r="O14" s="39"/>
      <c r="P14" s="39"/>
      <c r="Q14" s="39"/>
      <c r="R14" s="39"/>
      <c r="S14" s="39"/>
      <c r="T14" s="39"/>
      <c r="U14" s="39"/>
      <c r="V14" s="39"/>
      <c r="W14" s="39"/>
      <c r="X14" s="39"/>
      <c r="Y14" s="39"/>
      <c r="Z14" s="39"/>
    </row>
    <row r="15" spans="1:26">
      <c r="A15" s="34" t="s">
        <v>16</v>
      </c>
      <c r="B15" s="238">
        <v>4</v>
      </c>
      <c r="C15" s="171"/>
      <c r="D15" s="171"/>
      <c r="E15" s="171"/>
      <c r="F15" s="39"/>
      <c r="G15" s="39"/>
      <c r="H15" s="39"/>
      <c r="I15" s="39"/>
      <c r="J15" s="39"/>
      <c r="K15" s="39"/>
      <c r="L15" s="39"/>
      <c r="M15" s="39"/>
      <c r="N15" s="39"/>
      <c r="O15" s="39"/>
      <c r="P15" s="39"/>
      <c r="Q15" s="39"/>
      <c r="R15" s="39"/>
      <c r="S15" s="39"/>
      <c r="T15" s="39"/>
      <c r="U15" s="39"/>
      <c r="V15" s="39"/>
      <c r="W15" s="39"/>
      <c r="X15" s="39"/>
      <c r="Y15" s="39"/>
      <c r="Z15" s="39"/>
    </row>
    <row r="16" spans="1:26">
      <c r="A16" s="34" t="s">
        <v>17</v>
      </c>
      <c r="B16" s="238">
        <v>2</v>
      </c>
      <c r="C16" s="171"/>
      <c r="D16" s="171"/>
      <c r="E16" s="171"/>
      <c r="F16" s="39"/>
      <c r="G16" s="39"/>
      <c r="H16" s="39"/>
      <c r="I16" s="39"/>
      <c r="J16" s="39"/>
      <c r="K16" s="39"/>
      <c r="L16" s="39"/>
      <c r="M16" s="39"/>
      <c r="N16" s="39"/>
      <c r="O16" s="39"/>
      <c r="P16" s="39"/>
      <c r="Q16" s="39"/>
      <c r="R16" s="39"/>
      <c r="S16" s="39"/>
      <c r="T16" s="39"/>
      <c r="U16" s="39"/>
      <c r="V16" s="39"/>
      <c r="W16" s="39"/>
      <c r="X16" s="39"/>
      <c r="Y16" s="39"/>
      <c r="Z16" s="39"/>
    </row>
    <row r="17" spans="1:26">
      <c r="A17" s="34" t="s">
        <v>472</v>
      </c>
      <c r="B17" s="238">
        <v>0</v>
      </c>
      <c r="C17" s="171"/>
      <c r="D17" s="171"/>
      <c r="E17" s="171"/>
      <c r="F17" s="39"/>
      <c r="G17" s="39"/>
      <c r="H17" s="39"/>
      <c r="I17" s="39"/>
      <c r="J17" s="39"/>
      <c r="K17" s="39"/>
      <c r="L17" s="39"/>
      <c r="M17" s="39"/>
      <c r="N17" s="39"/>
      <c r="O17" s="39"/>
      <c r="P17" s="39"/>
      <c r="Q17" s="39"/>
      <c r="R17" s="39"/>
      <c r="S17" s="39"/>
      <c r="T17" s="39"/>
      <c r="U17" s="39"/>
      <c r="V17" s="39"/>
      <c r="W17" s="39"/>
      <c r="X17" s="39"/>
      <c r="Y17" s="39"/>
      <c r="Z17" s="39"/>
    </row>
    <row r="18" spans="1:26">
      <c r="A18" s="237" t="s">
        <v>473</v>
      </c>
      <c r="B18" s="171"/>
      <c r="C18" s="171"/>
      <c r="D18" s="171"/>
      <c r="E18" s="171"/>
      <c r="F18" s="39"/>
      <c r="G18" s="39"/>
      <c r="H18" s="39"/>
      <c r="I18" s="39"/>
      <c r="J18" s="39"/>
      <c r="K18" s="39"/>
      <c r="L18" s="39"/>
      <c r="M18" s="39"/>
      <c r="N18" s="39"/>
      <c r="O18" s="39"/>
      <c r="P18" s="39"/>
      <c r="Q18" s="39"/>
      <c r="R18" s="39"/>
      <c r="S18" s="39"/>
      <c r="T18" s="39"/>
      <c r="U18" s="39"/>
      <c r="V18" s="39"/>
      <c r="W18" s="39"/>
      <c r="X18" s="39"/>
      <c r="Y18" s="39"/>
      <c r="Z18" s="39"/>
    </row>
    <row r="19" spans="1:26">
      <c r="A19" s="34" t="s">
        <v>20</v>
      </c>
      <c r="B19" s="223">
        <v>5</v>
      </c>
      <c r="C19" s="171"/>
      <c r="D19" s="171"/>
      <c r="E19" s="171"/>
      <c r="F19" s="39"/>
      <c r="G19" s="39"/>
      <c r="H19" s="39"/>
      <c r="I19" s="39"/>
      <c r="J19" s="39"/>
      <c r="K19" s="39"/>
      <c r="L19" s="39"/>
      <c r="M19" s="39"/>
      <c r="N19" s="39"/>
      <c r="O19" s="39"/>
      <c r="P19" s="39"/>
      <c r="Q19" s="39"/>
      <c r="R19" s="39"/>
      <c r="S19" s="39"/>
      <c r="T19" s="39"/>
      <c r="U19" s="39"/>
      <c r="V19" s="39"/>
      <c r="W19" s="39"/>
      <c r="X19" s="39"/>
      <c r="Y19" s="39"/>
      <c r="Z19" s="39"/>
    </row>
    <row r="20" spans="1:26">
      <c r="A20" s="34" t="s">
        <v>21</v>
      </c>
      <c r="B20" s="238">
        <v>3</v>
      </c>
      <c r="C20" s="171"/>
      <c r="D20" s="171"/>
      <c r="E20" s="171"/>
      <c r="F20" s="39"/>
      <c r="G20" s="39"/>
      <c r="H20" s="39"/>
      <c r="I20" s="39"/>
      <c r="J20" s="39"/>
      <c r="K20" s="39"/>
      <c r="L20" s="39"/>
      <c r="M20" s="39"/>
      <c r="N20" s="39"/>
      <c r="O20" s="39"/>
      <c r="P20" s="39"/>
      <c r="Q20" s="39"/>
      <c r="R20" s="39"/>
      <c r="S20" s="39"/>
      <c r="T20" s="39"/>
      <c r="U20" s="39"/>
      <c r="V20" s="39"/>
      <c r="W20" s="39"/>
      <c r="X20" s="39"/>
      <c r="Y20" s="39"/>
      <c r="Z20" s="39"/>
    </row>
    <row r="21" spans="1:26">
      <c r="A21" s="34" t="s">
        <v>22</v>
      </c>
      <c r="B21" s="238">
        <v>1</v>
      </c>
      <c r="C21" s="171"/>
      <c r="D21" s="171"/>
      <c r="E21" s="171"/>
      <c r="F21" s="39"/>
      <c r="G21" s="39"/>
      <c r="H21" s="39"/>
      <c r="I21" s="39"/>
      <c r="J21" s="39"/>
      <c r="K21" s="39"/>
      <c r="L21" s="39"/>
      <c r="M21" s="39"/>
      <c r="N21" s="39"/>
      <c r="O21" s="39"/>
      <c r="P21" s="39"/>
      <c r="Q21" s="39"/>
      <c r="R21" s="39"/>
      <c r="S21" s="39"/>
      <c r="T21" s="39"/>
      <c r="U21" s="39"/>
      <c r="V21" s="39"/>
      <c r="W21" s="39"/>
      <c r="X21" s="39"/>
      <c r="Y21" s="39"/>
      <c r="Z21" s="39"/>
    </row>
    <row r="22" spans="1:26">
      <c r="A22" s="34" t="s">
        <v>23</v>
      </c>
      <c r="B22" s="238">
        <v>0</v>
      </c>
      <c r="C22" s="171"/>
      <c r="D22" s="171"/>
      <c r="E22" s="171"/>
      <c r="F22" s="39"/>
      <c r="G22" s="39"/>
      <c r="H22" s="39"/>
      <c r="I22" s="39"/>
      <c r="J22" s="39"/>
      <c r="K22" s="39"/>
      <c r="L22" s="39"/>
      <c r="M22" s="39"/>
      <c r="N22" s="39"/>
      <c r="O22" s="39"/>
      <c r="P22" s="39"/>
      <c r="Q22" s="39"/>
      <c r="R22" s="39"/>
      <c r="S22" s="39"/>
      <c r="T22" s="39"/>
      <c r="U22" s="39"/>
      <c r="V22" s="39"/>
      <c r="W22" s="39"/>
      <c r="X22" s="39"/>
      <c r="Y22" s="39"/>
      <c r="Z22" s="39"/>
    </row>
    <row r="23" spans="1:26">
      <c r="A23" s="34" t="s">
        <v>24</v>
      </c>
      <c r="B23" s="238">
        <v>-5</v>
      </c>
      <c r="C23" s="171"/>
      <c r="D23" s="171"/>
      <c r="E23" s="171"/>
      <c r="F23" s="39"/>
      <c r="G23" s="39"/>
      <c r="H23" s="39"/>
      <c r="I23" s="39"/>
      <c r="J23" s="39"/>
      <c r="K23" s="39"/>
      <c r="L23" s="39"/>
      <c r="M23" s="39"/>
      <c r="N23" s="39"/>
      <c r="O23" s="39"/>
      <c r="P23" s="39"/>
      <c r="Q23" s="39"/>
      <c r="R23" s="39"/>
      <c r="S23" s="39"/>
      <c r="T23" s="39"/>
      <c r="U23" s="39"/>
      <c r="V23" s="39"/>
      <c r="W23" s="39"/>
      <c r="X23" s="39"/>
      <c r="Y23" s="39"/>
      <c r="Z23" s="39"/>
    </row>
    <row r="24" spans="1:26">
      <c r="A24" s="239" t="s">
        <v>474</v>
      </c>
      <c r="B24" s="171"/>
      <c r="C24" s="171"/>
      <c r="D24" s="171"/>
      <c r="E24" s="171"/>
      <c r="F24" s="39"/>
      <c r="G24" s="39"/>
      <c r="H24" s="39"/>
      <c r="I24" s="39"/>
      <c r="J24" s="39"/>
      <c r="K24" s="39"/>
      <c r="L24" s="39"/>
      <c r="M24" s="39"/>
      <c r="N24" s="39"/>
      <c r="O24" s="39"/>
      <c r="P24" s="39"/>
      <c r="Q24" s="39"/>
      <c r="R24" s="39"/>
      <c r="S24" s="39"/>
      <c r="T24" s="39"/>
      <c r="U24" s="39"/>
      <c r="V24" s="39"/>
      <c r="W24" s="39"/>
      <c r="X24" s="39"/>
      <c r="Y24" s="39"/>
      <c r="Z24" s="39"/>
    </row>
    <row r="25" spans="1:26">
      <c r="A25" s="34" t="s">
        <v>31</v>
      </c>
      <c r="B25" s="223">
        <v>3</v>
      </c>
      <c r="C25" s="171"/>
      <c r="D25" s="171"/>
      <c r="E25" s="171"/>
      <c r="F25" s="39"/>
      <c r="G25" s="39"/>
      <c r="H25" s="39"/>
      <c r="I25" s="39"/>
      <c r="J25" s="39"/>
      <c r="K25" s="39"/>
      <c r="L25" s="39"/>
      <c r="M25" s="39"/>
      <c r="N25" s="39"/>
      <c r="O25" s="39"/>
      <c r="P25" s="39"/>
      <c r="Q25" s="39"/>
      <c r="R25" s="39"/>
      <c r="S25" s="39"/>
      <c r="T25" s="39"/>
      <c r="U25" s="39"/>
      <c r="V25" s="39"/>
      <c r="W25" s="39"/>
      <c r="X25" s="39"/>
      <c r="Y25" s="39"/>
      <c r="Z25" s="39"/>
    </row>
    <row r="26" spans="1:26">
      <c r="A26" s="34" t="s">
        <v>32</v>
      </c>
      <c r="B26" s="238">
        <v>0</v>
      </c>
      <c r="C26" s="171"/>
      <c r="D26" s="171"/>
      <c r="E26" s="171"/>
      <c r="F26" s="39"/>
      <c r="G26" s="39"/>
      <c r="H26" s="39"/>
      <c r="I26" s="39"/>
      <c r="J26" s="39"/>
      <c r="K26" s="39"/>
      <c r="L26" s="39"/>
      <c r="M26" s="39"/>
      <c r="N26" s="39"/>
      <c r="O26" s="39"/>
      <c r="P26" s="39"/>
      <c r="Q26" s="39"/>
      <c r="R26" s="39"/>
      <c r="S26" s="39"/>
      <c r="T26" s="39"/>
      <c r="U26" s="39"/>
      <c r="V26" s="39"/>
      <c r="W26" s="39"/>
      <c r="X26" s="39"/>
      <c r="Y26" s="39"/>
      <c r="Z26" s="39"/>
    </row>
    <row r="27" spans="1:26">
      <c r="A27" s="239" t="s">
        <v>475</v>
      </c>
      <c r="B27" s="171"/>
      <c r="C27" s="171"/>
      <c r="D27" s="171"/>
      <c r="E27" s="171"/>
      <c r="F27" s="39"/>
      <c r="G27" s="39"/>
      <c r="H27" s="39"/>
      <c r="I27" s="39"/>
      <c r="J27" s="39"/>
      <c r="K27" s="39"/>
      <c r="L27" s="39"/>
      <c r="M27" s="39"/>
      <c r="N27" s="39"/>
      <c r="O27" s="39"/>
      <c r="P27" s="39"/>
      <c r="Q27" s="39"/>
      <c r="R27" s="39"/>
      <c r="S27" s="39"/>
      <c r="T27" s="39"/>
      <c r="U27" s="39"/>
      <c r="V27" s="39"/>
      <c r="W27" s="39"/>
      <c r="X27" s="39"/>
      <c r="Y27" s="39"/>
      <c r="Z27" s="39"/>
    </row>
    <row r="28" spans="1:26">
      <c r="A28" s="34" t="s">
        <v>35</v>
      </c>
      <c r="B28" s="223">
        <v>5</v>
      </c>
      <c r="C28" s="171"/>
      <c r="D28" s="171"/>
      <c r="E28" s="171"/>
      <c r="F28" s="39"/>
      <c r="G28" s="39"/>
      <c r="H28" s="39"/>
      <c r="I28" s="39"/>
      <c r="J28" s="39"/>
      <c r="K28" s="39"/>
      <c r="L28" s="39"/>
      <c r="M28" s="39"/>
      <c r="N28" s="39"/>
      <c r="O28" s="39"/>
      <c r="P28" s="39"/>
      <c r="Q28" s="39"/>
      <c r="R28" s="39"/>
      <c r="S28" s="39"/>
      <c r="T28" s="39"/>
      <c r="U28" s="39"/>
      <c r="V28" s="39"/>
      <c r="W28" s="39"/>
      <c r="X28" s="39"/>
      <c r="Y28" s="39"/>
      <c r="Z28" s="39"/>
    </row>
    <row r="29" spans="1:26">
      <c r="A29" s="34" t="s">
        <v>36</v>
      </c>
      <c r="B29" s="238">
        <v>3</v>
      </c>
      <c r="C29" s="171"/>
      <c r="D29" s="171"/>
      <c r="E29" s="171"/>
      <c r="F29" s="39"/>
      <c r="G29" s="39"/>
      <c r="H29" s="39"/>
      <c r="I29" s="39"/>
      <c r="J29" s="39"/>
      <c r="K29" s="39"/>
      <c r="L29" s="39"/>
      <c r="M29" s="39"/>
      <c r="N29" s="39"/>
      <c r="O29" s="39"/>
      <c r="P29" s="39"/>
      <c r="Q29" s="39"/>
      <c r="R29" s="39"/>
      <c r="S29" s="39"/>
      <c r="T29" s="39"/>
      <c r="U29" s="39"/>
      <c r="V29" s="39"/>
      <c r="W29" s="39"/>
      <c r="X29" s="39"/>
      <c r="Y29" s="39"/>
      <c r="Z29" s="39"/>
    </row>
    <row r="30" spans="1:26">
      <c r="A30" s="34" t="s">
        <v>37</v>
      </c>
      <c r="B30" s="238">
        <v>1</v>
      </c>
      <c r="C30" s="171"/>
      <c r="D30" s="171"/>
      <c r="E30" s="171"/>
      <c r="F30" s="39"/>
      <c r="G30" s="39"/>
      <c r="H30" s="39"/>
      <c r="I30" s="39"/>
      <c r="J30" s="39"/>
      <c r="K30" s="39"/>
      <c r="L30" s="39"/>
      <c r="M30" s="39"/>
      <c r="N30" s="39"/>
      <c r="O30" s="39"/>
      <c r="P30" s="39"/>
      <c r="Q30" s="39"/>
      <c r="R30" s="39"/>
      <c r="S30" s="39"/>
      <c r="T30" s="39"/>
      <c r="U30" s="39"/>
      <c r="V30" s="39"/>
      <c r="W30" s="39"/>
      <c r="X30" s="39"/>
      <c r="Y30" s="39"/>
      <c r="Z30" s="39"/>
    </row>
    <row r="31" spans="1:26">
      <c r="A31" s="34" t="s">
        <v>38</v>
      </c>
      <c r="B31" s="238">
        <v>0</v>
      </c>
      <c r="C31" s="171"/>
      <c r="D31" s="171"/>
      <c r="E31" s="171"/>
      <c r="F31" s="39"/>
      <c r="G31" s="39"/>
      <c r="H31" s="39"/>
      <c r="I31" s="39"/>
      <c r="J31" s="39"/>
      <c r="K31" s="39"/>
      <c r="L31" s="39"/>
      <c r="M31" s="39"/>
      <c r="N31" s="39"/>
      <c r="O31" s="39"/>
      <c r="P31" s="39"/>
      <c r="Q31" s="39"/>
      <c r="R31" s="39"/>
      <c r="S31" s="39"/>
      <c r="T31" s="39"/>
      <c r="U31" s="39"/>
      <c r="V31" s="39"/>
      <c r="W31" s="39"/>
      <c r="X31" s="39"/>
      <c r="Y31" s="39"/>
      <c r="Z31" s="39"/>
    </row>
    <row r="32" spans="1:26">
      <c r="A32" s="237" t="s">
        <v>476</v>
      </c>
      <c r="B32" s="171"/>
      <c r="C32" s="171"/>
      <c r="D32" s="171"/>
      <c r="E32" s="171"/>
      <c r="F32" s="39"/>
      <c r="G32" s="39"/>
      <c r="H32" s="39"/>
      <c r="I32" s="39"/>
      <c r="J32" s="39"/>
      <c r="K32" s="39"/>
      <c r="L32" s="39"/>
      <c r="M32" s="39"/>
      <c r="N32" s="39"/>
      <c r="O32" s="39"/>
      <c r="P32" s="39"/>
      <c r="Q32" s="39"/>
      <c r="R32" s="39"/>
      <c r="S32" s="39"/>
      <c r="T32" s="39"/>
      <c r="U32" s="39"/>
      <c r="V32" s="39"/>
      <c r="W32" s="39"/>
      <c r="X32" s="39"/>
      <c r="Y32" s="39"/>
      <c r="Z32" s="39"/>
    </row>
    <row r="33" spans="1:26">
      <c r="A33" s="34" t="s">
        <v>26</v>
      </c>
      <c r="B33" s="223">
        <v>2</v>
      </c>
      <c r="C33" s="171"/>
      <c r="D33" s="171"/>
      <c r="E33" s="171"/>
      <c r="F33" s="39"/>
      <c r="G33" s="39"/>
      <c r="H33" s="39"/>
      <c r="I33" s="39"/>
      <c r="J33" s="39"/>
      <c r="K33" s="39"/>
      <c r="L33" s="39"/>
      <c r="M33" s="39"/>
      <c r="N33" s="39"/>
      <c r="O33" s="39"/>
      <c r="P33" s="39"/>
      <c r="Q33" s="39"/>
      <c r="R33" s="39"/>
      <c r="S33" s="39"/>
      <c r="T33" s="39"/>
      <c r="U33" s="39"/>
      <c r="V33" s="39"/>
      <c r="W33" s="39"/>
      <c r="X33" s="39"/>
      <c r="Y33" s="39"/>
      <c r="Z33" s="39"/>
    </row>
    <row r="34" spans="1:26">
      <c r="A34" s="34" t="s">
        <v>27</v>
      </c>
      <c r="B34" s="238">
        <v>1</v>
      </c>
      <c r="C34" s="171"/>
      <c r="D34" s="171"/>
      <c r="E34" s="171"/>
      <c r="F34" s="39"/>
      <c r="G34" s="39"/>
      <c r="H34" s="39"/>
      <c r="I34" s="39"/>
      <c r="J34" s="39"/>
      <c r="K34" s="39"/>
      <c r="L34" s="39"/>
      <c r="M34" s="39"/>
      <c r="N34" s="39"/>
      <c r="O34" s="39"/>
      <c r="P34" s="39"/>
      <c r="Q34" s="39"/>
      <c r="R34" s="39"/>
      <c r="S34" s="39"/>
      <c r="T34" s="39"/>
      <c r="U34" s="39"/>
      <c r="V34" s="39"/>
      <c r="W34" s="39"/>
      <c r="X34" s="39"/>
      <c r="Y34" s="39"/>
      <c r="Z34" s="39"/>
    </row>
    <row r="35" spans="1:26">
      <c r="A35" s="34" t="s">
        <v>28</v>
      </c>
      <c r="B35" s="238">
        <v>0</v>
      </c>
      <c r="C35" s="171"/>
      <c r="D35" s="171"/>
      <c r="E35" s="171"/>
      <c r="F35" s="39"/>
      <c r="G35" s="39"/>
      <c r="H35" s="39"/>
      <c r="I35" s="39"/>
      <c r="J35" s="39"/>
      <c r="K35" s="39"/>
      <c r="L35" s="39"/>
      <c r="M35" s="39"/>
      <c r="N35" s="39"/>
      <c r="O35" s="39"/>
      <c r="P35" s="39"/>
      <c r="Q35" s="39"/>
      <c r="R35" s="39"/>
      <c r="S35" s="39"/>
      <c r="T35" s="39"/>
      <c r="U35" s="39"/>
      <c r="V35" s="39"/>
      <c r="W35" s="39"/>
      <c r="X35" s="39"/>
      <c r="Y35" s="39"/>
      <c r="Z35" s="39"/>
    </row>
    <row r="36" spans="1:26">
      <c r="A36" s="237" t="s">
        <v>477</v>
      </c>
      <c r="B36" s="171"/>
      <c r="C36" s="171"/>
      <c r="D36" s="171"/>
      <c r="E36" s="171"/>
      <c r="F36" s="39"/>
      <c r="G36" s="39"/>
      <c r="H36" s="39"/>
      <c r="I36" s="39"/>
      <c r="J36" s="39"/>
      <c r="K36" s="39"/>
      <c r="L36" s="39"/>
      <c r="M36" s="39"/>
      <c r="N36" s="39"/>
      <c r="O36" s="39"/>
      <c r="P36" s="39"/>
      <c r="Q36" s="39"/>
      <c r="R36" s="39"/>
      <c r="S36" s="39"/>
      <c r="T36" s="39"/>
      <c r="U36" s="39"/>
      <c r="V36" s="39"/>
      <c r="W36" s="39"/>
      <c r="X36" s="39"/>
      <c r="Y36" s="39"/>
      <c r="Z36" s="39"/>
    </row>
    <row r="37" spans="1:26">
      <c r="A37" s="34" t="s">
        <v>26</v>
      </c>
      <c r="B37" s="223">
        <v>5</v>
      </c>
      <c r="C37" s="171"/>
      <c r="D37" s="171"/>
      <c r="E37" s="171"/>
      <c r="F37" s="39"/>
      <c r="G37" s="39"/>
      <c r="H37" s="39"/>
      <c r="I37" s="39"/>
      <c r="J37" s="39"/>
      <c r="K37" s="39"/>
      <c r="L37" s="39"/>
      <c r="M37" s="39"/>
      <c r="N37" s="39"/>
      <c r="O37" s="39"/>
      <c r="P37" s="39"/>
      <c r="Q37" s="39"/>
      <c r="R37" s="39"/>
      <c r="S37" s="39"/>
      <c r="T37" s="39"/>
      <c r="U37" s="39"/>
      <c r="V37" s="39"/>
      <c r="W37" s="39"/>
      <c r="X37" s="39"/>
      <c r="Y37" s="39"/>
      <c r="Z37" s="39"/>
    </row>
    <row r="38" spans="1:26">
      <c r="A38" s="34" t="s">
        <v>27</v>
      </c>
      <c r="B38" s="238">
        <v>3</v>
      </c>
      <c r="C38" s="171"/>
      <c r="D38" s="171"/>
      <c r="E38" s="171"/>
      <c r="F38" s="39"/>
      <c r="G38" s="39"/>
      <c r="H38" s="39"/>
      <c r="I38" s="39"/>
      <c r="J38" s="39"/>
      <c r="K38" s="39"/>
      <c r="L38" s="39"/>
      <c r="M38" s="39"/>
      <c r="N38" s="39"/>
      <c r="O38" s="39"/>
      <c r="P38" s="39"/>
      <c r="Q38" s="39"/>
      <c r="R38" s="39"/>
      <c r="S38" s="39"/>
      <c r="T38" s="39"/>
      <c r="U38" s="39"/>
      <c r="V38" s="39"/>
      <c r="W38" s="39"/>
      <c r="X38" s="39"/>
      <c r="Y38" s="39"/>
      <c r="Z38" s="39"/>
    </row>
    <row r="39" spans="1:26" ht="16.5">
      <c r="A39" s="34" t="s">
        <v>28</v>
      </c>
      <c r="B39" s="238">
        <v>1</v>
      </c>
      <c r="C39" s="171"/>
      <c r="D39" s="171"/>
      <c r="E39" s="171"/>
      <c r="F39" s="39"/>
      <c r="G39" s="39"/>
      <c r="H39" s="39"/>
      <c r="I39" s="39"/>
      <c r="J39" s="39"/>
      <c r="K39" s="39"/>
      <c r="L39" s="39"/>
      <c r="M39" s="39"/>
      <c r="N39" s="39"/>
      <c r="O39" s="39"/>
      <c r="P39" s="39"/>
      <c r="Q39" s="39"/>
      <c r="R39" s="39"/>
      <c r="S39" s="39"/>
      <c r="T39" s="39"/>
      <c r="U39" s="39"/>
      <c r="V39" s="39"/>
      <c r="W39" s="39"/>
      <c r="X39" s="39"/>
      <c r="Y39" s="39"/>
      <c r="Z39" s="39"/>
    </row>
    <row r="40" spans="1:26" ht="16.5">
      <c r="A40" s="34" t="s">
        <v>29</v>
      </c>
      <c r="B40" s="238">
        <v>0</v>
      </c>
      <c r="C40" s="171"/>
      <c r="D40" s="171"/>
      <c r="E40" s="171"/>
      <c r="F40" s="39"/>
      <c r="G40" s="39"/>
      <c r="H40" s="39"/>
      <c r="I40" s="39"/>
      <c r="J40" s="39"/>
      <c r="K40" s="39"/>
      <c r="L40" s="39"/>
      <c r="M40" s="39"/>
      <c r="N40" s="39"/>
      <c r="O40" s="39"/>
      <c r="P40" s="39"/>
      <c r="Q40" s="39"/>
      <c r="R40" s="39"/>
      <c r="S40" s="39"/>
      <c r="T40" s="39"/>
      <c r="U40" s="39"/>
      <c r="V40" s="39"/>
      <c r="W40" s="39"/>
      <c r="X40" s="39"/>
      <c r="Y40" s="39"/>
      <c r="Z40" s="39"/>
    </row>
    <row r="41" spans="1:26" ht="33">
      <c r="A41" s="239" t="s">
        <v>478</v>
      </c>
      <c r="B41" s="171"/>
      <c r="C41" s="171"/>
      <c r="D41" s="171"/>
      <c r="E41" s="171"/>
      <c r="F41" s="39"/>
      <c r="G41" s="39"/>
      <c r="H41" s="39"/>
      <c r="I41" s="39"/>
      <c r="J41" s="39"/>
      <c r="K41" s="39"/>
      <c r="L41" s="39"/>
      <c r="M41" s="39"/>
      <c r="N41" s="39"/>
      <c r="O41" s="39"/>
      <c r="P41" s="39"/>
      <c r="Q41" s="39"/>
      <c r="R41" s="39"/>
      <c r="S41" s="39"/>
      <c r="T41" s="39"/>
      <c r="U41" s="39"/>
      <c r="V41" s="39"/>
      <c r="W41" s="39"/>
      <c r="X41" s="39"/>
      <c r="Y41" s="39"/>
      <c r="Z41" s="39"/>
    </row>
    <row r="42" spans="1:26" ht="16.5">
      <c r="A42" s="237" t="s">
        <v>479</v>
      </c>
      <c r="B42" s="223">
        <v>5</v>
      </c>
      <c r="C42" s="171"/>
      <c r="D42" s="171"/>
      <c r="E42" s="171"/>
      <c r="F42" s="39"/>
      <c r="G42" s="39"/>
      <c r="H42" s="39"/>
      <c r="I42" s="39"/>
      <c r="J42" s="39"/>
      <c r="K42" s="39"/>
      <c r="L42" s="39"/>
      <c r="M42" s="39"/>
      <c r="N42" s="39"/>
      <c r="O42" s="39"/>
      <c r="P42" s="39"/>
      <c r="Q42" s="39"/>
      <c r="R42" s="39"/>
      <c r="S42" s="39"/>
      <c r="T42" s="39"/>
      <c r="U42" s="39"/>
      <c r="V42" s="39"/>
      <c r="W42" s="39"/>
      <c r="X42" s="39"/>
      <c r="Y42" s="39"/>
      <c r="Z42" s="39"/>
    </row>
    <row r="43" spans="1:26" ht="16.5">
      <c r="A43" s="237" t="s">
        <v>480</v>
      </c>
      <c r="B43" s="238">
        <v>2</v>
      </c>
      <c r="C43" s="171"/>
      <c r="D43" s="171"/>
      <c r="E43" s="171"/>
      <c r="F43" s="39"/>
      <c r="G43" s="39"/>
      <c r="H43" s="39"/>
      <c r="I43" s="39"/>
      <c r="J43" s="39"/>
      <c r="K43" s="39"/>
      <c r="L43" s="39"/>
      <c r="M43" s="39"/>
      <c r="N43" s="39"/>
      <c r="O43" s="39"/>
      <c r="P43" s="39"/>
      <c r="Q43" s="39"/>
      <c r="R43" s="39"/>
      <c r="S43" s="39"/>
      <c r="T43" s="39"/>
      <c r="U43" s="39"/>
      <c r="V43" s="39"/>
      <c r="W43" s="39"/>
      <c r="X43" s="39"/>
      <c r="Y43" s="39"/>
      <c r="Z43" s="39"/>
    </row>
    <row r="44" spans="1:26" ht="16.5">
      <c r="A44" s="34" t="s">
        <v>44</v>
      </c>
      <c r="B44" s="238">
        <v>0</v>
      </c>
      <c r="C44" s="171"/>
      <c r="D44" s="171"/>
      <c r="E44" s="171"/>
      <c r="F44" s="39"/>
      <c r="G44" s="39"/>
      <c r="H44" s="39"/>
      <c r="I44" s="39"/>
      <c r="J44" s="39"/>
      <c r="K44" s="39"/>
      <c r="L44" s="39"/>
      <c r="M44" s="39"/>
      <c r="N44" s="39"/>
      <c r="O44" s="39"/>
      <c r="P44" s="39"/>
      <c r="Q44" s="39"/>
      <c r="R44" s="39"/>
      <c r="S44" s="39"/>
      <c r="T44" s="39"/>
      <c r="U44" s="39"/>
      <c r="V44" s="39"/>
      <c r="W44" s="39"/>
      <c r="X44" s="39"/>
      <c r="Y44" s="39"/>
      <c r="Z44" s="39"/>
    </row>
    <row r="45" spans="1:26" ht="16.5">
      <c r="A45" s="239" t="s">
        <v>481</v>
      </c>
      <c r="B45" s="171"/>
      <c r="C45" s="171"/>
      <c r="D45" s="171"/>
      <c r="E45" s="171"/>
      <c r="F45" s="39"/>
      <c r="G45" s="39"/>
      <c r="H45" s="39"/>
      <c r="I45" s="39"/>
      <c r="J45" s="39"/>
      <c r="K45" s="39"/>
      <c r="L45" s="39"/>
      <c r="M45" s="39"/>
      <c r="N45" s="39"/>
      <c r="O45" s="39"/>
      <c r="P45" s="39"/>
      <c r="Q45" s="39"/>
      <c r="R45" s="39"/>
      <c r="S45" s="39"/>
      <c r="T45" s="39"/>
      <c r="U45" s="39"/>
      <c r="V45" s="39"/>
      <c r="W45" s="39"/>
      <c r="X45" s="39"/>
      <c r="Y45" s="39"/>
      <c r="Z45" s="39"/>
    </row>
    <row r="46" spans="1:26" ht="16.5">
      <c r="A46" s="237" t="s">
        <v>482</v>
      </c>
      <c r="B46" s="223">
        <v>5</v>
      </c>
      <c r="C46" s="171"/>
      <c r="D46" s="171"/>
      <c r="E46" s="171"/>
      <c r="F46" s="39"/>
      <c r="G46" s="39"/>
      <c r="H46" s="39"/>
      <c r="I46" s="39"/>
      <c r="J46" s="39"/>
      <c r="K46" s="39"/>
      <c r="L46" s="39"/>
      <c r="M46" s="39"/>
      <c r="N46" s="39"/>
      <c r="O46" s="39"/>
      <c r="P46" s="39"/>
      <c r="Q46" s="39"/>
      <c r="R46" s="39"/>
      <c r="S46" s="39"/>
      <c r="T46" s="39"/>
      <c r="U46" s="39"/>
      <c r="V46" s="39"/>
      <c r="W46" s="39"/>
      <c r="X46" s="39"/>
      <c r="Y46" s="39"/>
      <c r="Z46" s="39"/>
    </row>
    <row r="47" spans="1:26" ht="16.5">
      <c r="A47" s="34" t="s">
        <v>27</v>
      </c>
      <c r="B47" s="238">
        <v>2</v>
      </c>
      <c r="C47" s="171"/>
      <c r="D47" s="171"/>
      <c r="E47" s="171"/>
      <c r="F47" s="39"/>
      <c r="G47" s="39"/>
      <c r="H47" s="39"/>
      <c r="I47" s="39"/>
      <c r="J47" s="39"/>
      <c r="K47" s="39"/>
      <c r="L47" s="39"/>
      <c r="M47" s="39"/>
      <c r="N47" s="39"/>
      <c r="O47" s="39"/>
      <c r="P47" s="39"/>
      <c r="Q47" s="39"/>
      <c r="R47" s="39"/>
      <c r="S47" s="39"/>
      <c r="T47" s="39"/>
      <c r="U47" s="39"/>
      <c r="V47" s="39"/>
      <c r="W47" s="39"/>
      <c r="X47" s="39"/>
      <c r="Y47" s="39"/>
      <c r="Z47" s="39"/>
    </row>
    <row r="48" spans="1:26" ht="16.5">
      <c r="A48" s="34" t="s">
        <v>483</v>
      </c>
      <c r="B48" s="238">
        <v>0</v>
      </c>
      <c r="C48" s="171"/>
      <c r="D48" s="171"/>
      <c r="E48" s="171"/>
      <c r="F48" s="39"/>
      <c r="G48" s="39"/>
      <c r="H48" s="39"/>
      <c r="I48" s="39"/>
      <c r="J48" s="39"/>
      <c r="K48" s="39"/>
      <c r="L48" s="39"/>
      <c r="M48" s="39"/>
      <c r="N48" s="39"/>
      <c r="O48" s="39"/>
      <c r="P48" s="39"/>
      <c r="Q48" s="39"/>
      <c r="R48" s="39"/>
      <c r="S48" s="39"/>
      <c r="T48" s="39"/>
      <c r="U48" s="39"/>
      <c r="V48" s="39"/>
      <c r="W48" s="39"/>
      <c r="X48" s="39"/>
      <c r="Y48" s="39"/>
      <c r="Z48" s="39"/>
    </row>
    <row r="49" spans="1:26" ht="16.5">
      <c r="A49" s="240" t="s">
        <v>484</v>
      </c>
      <c r="B49" s="235">
        <v>10</v>
      </c>
      <c r="C49" s="236"/>
      <c r="D49" s="236"/>
      <c r="E49" s="236"/>
      <c r="F49" s="39"/>
      <c r="G49" s="39"/>
      <c r="H49" s="39"/>
      <c r="I49" s="39"/>
      <c r="J49" s="39"/>
      <c r="K49" s="39"/>
      <c r="L49" s="39"/>
      <c r="M49" s="39"/>
      <c r="N49" s="39"/>
      <c r="O49" s="39"/>
      <c r="P49" s="39"/>
      <c r="Q49" s="39"/>
      <c r="R49" s="39"/>
      <c r="S49" s="39"/>
      <c r="T49" s="39"/>
      <c r="U49" s="39"/>
      <c r="V49" s="39"/>
      <c r="W49" s="39"/>
      <c r="X49" s="39"/>
      <c r="Y49" s="39"/>
      <c r="Z49" s="39"/>
    </row>
    <row r="50" spans="1:26" ht="33">
      <c r="A50" s="241" t="s">
        <v>485</v>
      </c>
      <c r="B50" s="171"/>
      <c r="C50" s="171"/>
      <c r="D50" s="171"/>
      <c r="E50" s="171"/>
      <c r="F50" s="39"/>
      <c r="G50" s="39"/>
      <c r="H50" s="39"/>
      <c r="I50" s="39"/>
      <c r="J50" s="39"/>
      <c r="K50" s="39"/>
      <c r="L50" s="39"/>
      <c r="M50" s="39"/>
      <c r="N50" s="39"/>
      <c r="O50" s="39"/>
      <c r="P50" s="39"/>
      <c r="Q50" s="39"/>
      <c r="R50" s="39"/>
      <c r="S50" s="39"/>
      <c r="T50" s="39"/>
      <c r="U50" s="39"/>
      <c r="V50" s="39"/>
      <c r="W50" s="39"/>
      <c r="X50" s="39"/>
      <c r="Y50" s="39"/>
      <c r="Z50" s="39"/>
    </row>
    <row r="51" spans="1:26" ht="33">
      <c r="A51" s="34" t="s">
        <v>486</v>
      </c>
      <c r="B51" s="223">
        <v>10</v>
      </c>
      <c r="C51" s="171"/>
      <c r="D51" s="171"/>
      <c r="E51" s="171"/>
      <c r="F51" s="39"/>
      <c r="G51" s="39"/>
      <c r="H51" s="39"/>
      <c r="I51" s="39"/>
      <c r="J51" s="39"/>
      <c r="K51" s="39"/>
      <c r="L51" s="39"/>
      <c r="M51" s="39"/>
      <c r="N51" s="39"/>
      <c r="O51" s="39"/>
      <c r="P51" s="39"/>
      <c r="Q51" s="39"/>
      <c r="R51" s="39"/>
      <c r="S51" s="39"/>
      <c r="T51" s="39"/>
      <c r="U51" s="39"/>
      <c r="V51" s="39"/>
      <c r="W51" s="39"/>
      <c r="X51" s="39"/>
      <c r="Y51" s="39"/>
      <c r="Z51" s="39"/>
    </row>
    <row r="52" spans="1:26" ht="33">
      <c r="A52" s="242" t="s">
        <v>487</v>
      </c>
      <c r="B52" s="238">
        <v>5</v>
      </c>
      <c r="C52" s="171"/>
      <c r="D52" s="171"/>
      <c r="E52" s="171"/>
      <c r="F52" s="39"/>
      <c r="G52" s="39"/>
      <c r="H52" s="39"/>
      <c r="I52" s="39"/>
      <c r="J52" s="39"/>
      <c r="K52" s="39"/>
      <c r="L52" s="39"/>
      <c r="M52" s="39"/>
      <c r="N52" s="39"/>
      <c r="O52" s="39"/>
      <c r="P52" s="39"/>
      <c r="Q52" s="39"/>
      <c r="R52" s="39"/>
      <c r="S52" s="39"/>
      <c r="T52" s="39"/>
      <c r="U52" s="39"/>
      <c r="V52" s="39"/>
      <c r="W52" s="39"/>
      <c r="X52" s="39"/>
      <c r="Y52" s="39"/>
      <c r="Z52" s="39"/>
    </row>
    <row r="53" spans="1:26" ht="33">
      <c r="A53" s="34" t="s">
        <v>488</v>
      </c>
      <c r="B53" s="238">
        <v>2</v>
      </c>
      <c r="C53" s="171"/>
      <c r="D53" s="171"/>
      <c r="E53" s="171"/>
      <c r="F53" s="39"/>
      <c r="G53" s="39"/>
      <c r="H53" s="39"/>
      <c r="I53" s="39"/>
      <c r="J53" s="39"/>
      <c r="K53" s="39"/>
      <c r="L53" s="39"/>
      <c r="M53" s="39"/>
      <c r="N53" s="39"/>
      <c r="O53" s="39"/>
      <c r="P53" s="39"/>
      <c r="Q53" s="39"/>
      <c r="R53" s="39"/>
      <c r="S53" s="39"/>
      <c r="T53" s="39"/>
      <c r="U53" s="39"/>
      <c r="V53" s="39"/>
      <c r="W53" s="39"/>
      <c r="X53" s="39"/>
      <c r="Y53" s="39"/>
      <c r="Z53" s="39"/>
    </row>
    <row r="54" spans="1:26" ht="16.5">
      <c r="A54" s="34" t="s">
        <v>489</v>
      </c>
      <c r="B54" s="238">
        <v>0</v>
      </c>
      <c r="C54" s="171"/>
      <c r="D54" s="171"/>
      <c r="E54" s="171"/>
      <c r="F54" s="39"/>
      <c r="G54" s="39"/>
      <c r="H54" s="39"/>
      <c r="I54" s="39"/>
      <c r="J54" s="39"/>
      <c r="K54" s="39"/>
      <c r="L54" s="39"/>
      <c r="M54" s="39"/>
      <c r="N54" s="39"/>
      <c r="O54" s="39"/>
      <c r="P54" s="39"/>
      <c r="Q54" s="39"/>
      <c r="R54" s="39"/>
      <c r="S54" s="39"/>
      <c r="T54" s="39"/>
      <c r="U54" s="39"/>
      <c r="V54" s="39"/>
      <c r="W54" s="39"/>
      <c r="X54" s="39"/>
      <c r="Y54" s="39"/>
      <c r="Z54" s="39"/>
    </row>
    <row r="55" spans="1:26" ht="33">
      <c r="A55" s="241" t="s">
        <v>490</v>
      </c>
      <c r="B55" s="171"/>
      <c r="C55" s="171"/>
      <c r="D55" s="171"/>
      <c r="E55" s="171"/>
      <c r="F55" s="39"/>
      <c r="G55" s="39"/>
      <c r="H55" s="39"/>
      <c r="I55" s="39"/>
      <c r="J55" s="39"/>
      <c r="K55" s="39"/>
      <c r="L55" s="39"/>
      <c r="M55" s="39"/>
      <c r="N55" s="39"/>
      <c r="O55" s="39"/>
      <c r="P55" s="39"/>
      <c r="Q55" s="39"/>
      <c r="R55" s="39"/>
      <c r="S55" s="39"/>
      <c r="T55" s="39"/>
      <c r="U55" s="39"/>
      <c r="V55" s="39"/>
      <c r="W55" s="39"/>
      <c r="X55" s="39"/>
      <c r="Y55" s="39"/>
      <c r="Z55" s="39"/>
    </row>
    <row r="56" spans="1:26" ht="33">
      <c r="A56" s="34" t="s">
        <v>491</v>
      </c>
      <c r="B56" s="223">
        <v>10</v>
      </c>
      <c r="C56" s="171"/>
      <c r="D56" s="171"/>
      <c r="E56" s="171"/>
      <c r="F56" s="39"/>
      <c r="G56" s="39"/>
      <c r="H56" s="39"/>
      <c r="I56" s="39"/>
      <c r="J56" s="39"/>
      <c r="K56" s="39"/>
      <c r="L56" s="39"/>
      <c r="M56" s="39"/>
      <c r="N56" s="39"/>
      <c r="O56" s="39"/>
      <c r="P56" s="39"/>
      <c r="Q56" s="39"/>
      <c r="R56" s="39"/>
      <c r="S56" s="39"/>
      <c r="T56" s="39"/>
      <c r="U56" s="39"/>
      <c r="V56" s="39"/>
      <c r="W56" s="39"/>
      <c r="X56" s="39"/>
      <c r="Y56" s="39"/>
      <c r="Z56" s="39"/>
    </row>
    <row r="57" spans="1:26" ht="49.5">
      <c r="A57" s="34" t="s">
        <v>492</v>
      </c>
      <c r="B57" s="223">
        <v>5</v>
      </c>
      <c r="C57" s="171"/>
      <c r="D57" s="171"/>
      <c r="E57" s="171"/>
      <c r="F57" s="39"/>
      <c r="G57" s="39"/>
      <c r="H57" s="39"/>
      <c r="I57" s="39"/>
      <c r="J57" s="39"/>
      <c r="K57" s="39"/>
      <c r="L57" s="39"/>
      <c r="M57" s="39"/>
      <c r="N57" s="39"/>
      <c r="O57" s="39"/>
      <c r="P57" s="39"/>
      <c r="Q57" s="39"/>
      <c r="R57" s="39"/>
      <c r="S57" s="39"/>
      <c r="T57" s="39"/>
      <c r="U57" s="39"/>
      <c r="V57" s="39"/>
      <c r="W57" s="39"/>
      <c r="X57" s="39"/>
      <c r="Y57" s="39"/>
      <c r="Z57" s="39"/>
    </row>
    <row r="58" spans="1:26" ht="33">
      <c r="A58" s="34" t="s">
        <v>493</v>
      </c>
      <c r="B58" s="238">
        <v>0</v>
      </c>
      <c r="C58" s="171"/>
      <c r="D58" s="171"/>
      <c r="E58" s="171"/>
      <c r="F58" s="39"/>
      <c r="G58" s="39"/>
      <c r="H58" s="39"/>
      <c r="I58" s="39"/>
      <c r="J58" s="39"/>
      <c r="K58" s="39"/>
      <c r="L58" s="39"/>
      <c r="M58" s="39"/>
      <c r="N58" s="39"/>
      <c r="O58" s="39"/>
      <c r="P58" s="39"/>
      <c r="Q58" s="39"/>
      <c r="R58" s="39"/>
      <c r="S58" s="39"/>
      <c r="T58" s="39"/>
      <c r="U58" s="39"/>
      <c r="V58" s="39"/>
      <c r="W58" s="39"/>
      <c r="X58" s="39"/>
      <c r="Y58" s="39"/>
      <c r="Z58" s="39"/>
    </row>
    <row r="59" spans="1:26" ht="16.5">
      <c r="A59" s="234" t="s">
        <v>494</v>
      </c>
      <c r="B59" s="235">
        <f>B61+B65+B69+B73+B76</f>
        <v>25</v>
      </c>
      <c r="C59" s="236"/>
      <c r="D59" s="236"/>
      <c r="E59" s="236"/>
      <c r="F59" s="39"/>
      <c r="G59" s="39"/>
      <c r="H59" s="39"/>
      <c r="I59" s="39"/>
      <c r="J59" s="39"/>
      <c r="K59" s="39"/>
      <c r="L59" s="39"/>
      <c r="M59" s="39"/>
      <c r="N59" s="39"/>
      <c r="O59" s="39"/>
      <c r="P59" s="39"/>
      <c r="Q59" s="39"/>
      <c r="R59" s="39"/>
      <c r="S59" s="39"/>
      <c r="T59" s="39"/>
      <c r="U59" s="39"/>
      <c r="V59" s="39"/>
      <c r="W59" s="39"/>
      <c r="X59" s="39"/>
      <c r="Y59" s="39"/>
      <c r="Z59" s="39"/>
    </row>
    <row r="60" spans="1:26" ht="33">
      <c r="A60" s="239" t="s">
        <v>60</v>
      </c>
      <c r="B60" s="171"/>
      <c r="C60" s="171"/>
      <c r="D60" s="171"/>
      <c r="E60" s="171"/>
      <c r="F60" s="39"/>
      <c r="G60" s="39"/>
      <c r="H60" s="39"/>
      <c r="I60" s="39"/>
      <c r="J60" s="39"/>
      <c r="K60" s="39"/>
      <c r="L60" s="39"/>
      <c r="M60" s="39"/>
      <c r="N60" s="39"/>
      <c r="O60" s="39"/>
      <c r="P60" s="39"/>
      <c r="Q60" s="39"/>
      <c r="R60" s="39"/>
      <c r="S60" s="39"/>
      <c r="T60" s="39"/>
      <c r="U60" s="39"/>
      <c r="V60" s="39"/>
      <c r="W60" s="39"/>
      <c r="X60" s="39"/>
      <c r="Y60" s="39"/>
      <c r="Z60" s="39"/>
    </row>
    <row r="61" spans="1:26" ht="16.5">
      <c r="A61" s="34" t="s">
        <v>61</v>
      </c>
      <c r="B61" s="223">
        <v>5</v>
      </c>
      <c r="C61" s="171"/>
      <c r="D61" s="171"/>
      <c r="E61" s="171"/>
      <c r="F61" s="39"/>
      <c r="G61" s="39"/>
      <c r="H61" s="39"/>
      <c r="I61" s="39"/>
      <c r="J61" s="39"/>
      <c r="K61" s="39"/>
      <c r="L61" s="39"/>
      <c r="M61" s="39"/>
      <c r="N61" s="39"/>
      <c r="O61" s="39"/>
      <c r="P61" s="39"/>
      <c r="Q61" s="39"/>
      <c r="R61" s="39"/>
      <c r="S61" s="39"/>
      <c r="T61" s="39"/>
      <c r="U61" s="39"/>
      <c r="V61" s="39"/>
      <c r="W61" s="39"/>
      <c r="X61" s="39"/>
      <c r="Y61" s="39"/>
      <c r="Z61" s="39"/>
    </row>
    <row r="62" spans="1:26" ht="16.5">
      <c r="A62" s="34" t="s">
        <v>495</v>
      </c>
      <c r="B62" s="238">
        <v>2</v>
      </c>
      <c r="C62" s="171"/>
      <c r="D62" s="171"/>
      <c r="E62" s="171"/>
      <c r="F62" s="39"/>
      <c r="G62" s="39"/>
      <c r="H62" s="39"/>
      <c r="I62" s="39"/>
      <c r="J62" s="39"/>
      <c r="K62" s="39"/>
      <c r="L62" s="39"/>
      <c r="M62" s="39"/>
      <c r="N62" s="39"/>
      <c r="O62" s="39"/>
      <c r="P62" s="39"/>
      <c r="Q62" s="39"/>
      <c r="R62" s="39"/>
      <c r="S62" s="39"/>
      <c r="T62" s="39"/>
      <c r="U62" s="39"/>
      <c r="V62" s="39"/>
      <c r="W62" s="39"/>
      <c r="X62" s="39"/>
      <c r="Y62" s="39"/>
      <c r="Z62" s="39"/>
    </row>
    <row r="63" spans="1:26" ht="16.5">
      <c r="A63" s="34" t="s">
        <v>63</v>
      </c>
      <c r="B63" s="238">
        <v>0</v>
      </c>
      <c r="C63" s="171"/>
      <c r="D63" s="171"/>
      <c r="E63" s="171"/>
      <c r="F63" s="39"/>
      <c r="G63" s="39"/>
      <c r="H63" s="39"/>
      <c r="I63" s="39"/>
      <c r="J63" s="39"/>
      <c r="K63" s="39"/>
      <c r="L63" s="39"/>
      <c r="M63" s="39"/>
      <c r="N63" s="39"/>
      <c r="O63" s="39"/>
      <c r="P63" s="39"/>
      <c r="Q63" s="39"/>
      <c r="R63" s="39"/>
      <c r="S63" s="39"/>
      <c r="T63" s="39"/>
      <c r="U63" s="39"/>
      <c r="V63" s="39"/>
      <c r="W63" s="39"/>
      <c r="X63" s="39"/>
      <c r="Y63" s="39"/>
      <c r="Z63" s="39"/>
    </row>
    <row r="64" spans="1:26" ht="33">
      <c r="A64" s="239" t="s">
        <v>64</v>
      </c>
      <c r="B64" s="171"/>
      <c r="C64" s="171"/>
      <c r="D64" s="171"/>
      <c r="E64" s="171"/>
      <c r="F64" s="39"/>
      <c r="G64" s="39"/>
      <c r="H64" s="39"/>
      <c r="I64" s="39"/>
      <c r="J64" s="39"/>
      <c r="K64" s="39"/>
      <c r="L64" s="39"/>
      <c r="M64" s="39"/>
      <c r="N64" s="39"/>
      <c r="O64" s="39"/>
      <c r="P64" s="39"/>
      <c r="Q64" s="39"/>
      <c r="R64" s="39"/>
      <c r="S64" s="39"/>
      <c r="T64" s="39"/>
      <c r="U64" s="39"/>
      <c r="V64" s="39"/>
      <c r="W64" s="39"/>
      <c r="X64" s="39"/>
      <c r="Y64" s="39"/>
      <c r="Z64" s="39"/>
    </row>
    <row r="65" spans="1:26" ht="16.5">
      <c r="A65" s="34" t="s">
        <v>61</v>
      </c>
      <c r="B65" s="223">
        <v>5</v>
      </c>
      <c r="C65" s="171"/>
      <c r="D65" s="171"/>
      <c r="E65" s="171"/>
      <c r="F65" s="39"/>
      <c r="G65" s="39"/>
      <c r="H65" s="39"/>
      <c r="I65" s="39"/>
      <c r="J65" s="39"/>
      <c r="K65" s="39"/>
      <c r="L65" s="39"/>
      <c r="M65" s="39"/>
      <c r="N65" s="39"/>
      <c r="O65" s="39"/>
      <c r="P65" s="39"/>
      <c r="Q65" s="39"/>
      <c r="R65" s="39"/>
      <c r="S65" s="39"/>
      <c r="T65" s="39"/>
      <c r="U65" s="39"/>
      <c r="V65" s="39"/>
      <c r="W65" s="39"/>
      <c r="X65" s="39"/>
      <c r="Y65" s="39"/>
      <c r="Z65" s="39"/>
    </row>
    <row r="66" spans="1:26" ht="16.5">
      <c r="A66" s="34" t="s">
        <v>495</v>
      </c>
      <c r="B66" s="238">
        <v>2</v>
      </c>
      <c r="C66" s="171"/>
      <c r="D66" s="171"/>
      <c r="E66" s="171"/>
      <c r="F66" s="39"/>
      <c r="G66" s="39"/>
      <c r="H66" s="39"/>
      <c r="I66" s="39"/>
      <c r="J66" s="39"/>
      <c r="K66" s="39"/>
      <c r="L66" s="39"/>
      <c r="M66" s="39"/>
      <c r="N66" s="39"/>
      <c r="O66" s="39"/>
      <c r="P66" s="39"/>
      <c r="Q66" s="39"/>
      <c r="R66" s="39"/>
      <c r="S66" s="39"/>
      <c r="T66" s="39"/>
      <c r="U66" s="39"/>
      <c r="V66" s="39"/>
      <c r="W66" s="39"/>
      <c r="X66" s="39"/>
      <c r="Y66" s="39"/>
      <c r="Z66" s="39"/>
    </row>
    <row r="67" spans="1:26" ht="16.5">
      <c r="A67" s="34" t="s">
        <v>63</v>
      </c>
      <c r="B67" s="238">
        <v>0</v>
      </c>
      <c r="C67" s="171"/>
      <c r="D67" s="171"/>
      <c r="E67" s="171"/>
      <c r="F67" s="39"/>
      <c r="G67" s="39"/>
      <c r="H67" s="39"/>
      <c r="I67" s="39"/>
      <c r="J67" s="39"/>
      <c r="K67" s="39"/>
      <c r="L67" s="39"/>
      <c r="M67" s="39"/>
      <c r="N67" s="39"/>
      <c r="O67" s="39"/>
      <c r="P67" s="39"/>
      <c r="Q67" s="39"/>
      <c r="R67" s="39"/>
      <c r="S67" s="39"/>
      <c r="T67" s="39"/>
      <c r="U67" s="39"/>
      <c r="V67" s="39"/>
      <c r="W67" s="39"/>
      <c r="X67" s="39"/>
      <c r="Y67" s="39"/>
      <c r="Z67" s="39"/>
    </row>
    <row r="68" spans="1:26" ht="33">
      <c r="A68" s="239" t="s">
        <v>65</v>
      </c>
      <c r="B68" s="171"/>
      <c r="C68" s="171"/>
      <c r="D68" s="171"/>
      <c r="E68" s="171"/>
      <c r="F68" s="39"/>
      <c r="G68" s="39"/>
      <c r="H68" s="39"/>
      <c r="I68" s="39"/>
      <c r="J68" s="39"/>
      <c r="K68" s="39"/>
      <c r="L68" s="39"/>
      <c r="M68" s="39"/>
      <c r="N68" s="39"/>
      <c r="O68" s="39"/>
      <c r="P68" s="39"/>
      <c r="Q68" s="39"/>
      <c r="R68" s="39"/>
      <c r="S68" s="39"/>
      <c r="T68" s="39"/>
      <c r="U68" s="39"/>
      <c r="V68" s="39"/>
      <c r="W68" s="39"/>
      <c r="X68" s="39"/>
      <c r="Y68" s="39"/>
      <c r="Z68" s="39"/>
    </row>
    <row r="69" spans="1:26" ht="16.5">
      <c r="A69" s="34" t="s">
        <v>61</v>
      </c>
      <c r="B69" s="223">
        <v>5</v>
      </c>
      <c r="C69" s="171"/>
      <c r="D69" s="171"/>
      <c r="E69" s="171"/>
      <c r="F69" s="39"/>
      <c r="G69" s="39"/>
      <c r="H69" s="39"/>
      <c r="I69" s="39"/>
      <c r="J69" s="39"/>
      <c r="K69" s="39"/>
      <c r="L69" s="39"/>
      <c r="M69" s="39"/>
      <c r="N69" s="39"/>
      <c r="O69" s="39"/>
      <c r="P69" s="39"/>
      <c r="Q69" s="39"/>
      <c r="R69" s="39"/>
      <c r="S69" s="39"/>
      <c r="T69" s="39"/>
      <c r="U69" s="39"/>
      <c r="V69" s="39"/>
      <c r="W69" s="39"/>
      <c r="X69" s="39"/>
      <c r="Y69" s="39"/>
      <c r="Z69" s="39"/>
    </row>
    <row r="70" spans="1:26" ht="16.5">
      <c r="A70" s="34" t="s">
        <v>495</v>
      </c>
      <c r="B70" s="238">
        <v>2</v>
      </c>
      <c r="C70" s="171"/>
      <c r="D70" s="171"/>
      <c r="E70" s="171"/>
      <c r="F70" s="39"/>
      <c r="G70" s="39"/>
      <c r="H70" s="39"/>
      <c r="I70" s="39"/>
      <c r="J70" s="39"/>
      <c r="K70" s="39"/>
      <c r="L70" s="39"/>
      <c r="M70" s="39"/>
      <c r="N70" s="39"/>
      <c r="O70" s="39"/>
      <c r="P70" s="39"/>
      <c r="Q70" s="39"/>
      <c r="R70" s="39"/>
      <c r="S70" s="39"/>
      <c r="T70" s="39"/>
      <c r="U70" s="39"/>
      <c r="V70" s="39"/>
      <c r="W70" s="39"/>
      <c r="X70" s="39"/>
      <c r="Y70" s="39"/>
      <c r="Z70" s="39"/>
    </row>
    <row r="71" spans="1:26" ht="16.5">
      <c r="A71" s="34" t="s">
        <v>63</v>
      </c>
      <c r="B71" s="238">
        <v>0</v>
      </c>
      <c r="C71" s="171"/>
      <c r="D71" s="171"/>
      <c r="E71" s="171"/>
      <c r="F71" s="39"/>
      <c r="G71" s="39"/>
      <c r="H71" s="39"/>
      <c r="I71" s="39"/>
      <c r="J71" s="39"/>
      <c r="K71" s="39"/>
      <c r="L71" s="39"/>
      <c r="M71" s="39"/>
      <c r="N71" s="39"/>
      <c r="O71" s="39"/>
      <c r="P71" s="39"/>
      <c r="Q71" s="39"/>
      <c r="R71" s="39"/>
      <c r="S71" s="39"/>
      <c r="T71" s="39"/>
      <c r="U71" s="39"/>
      <c r="V71" s="39"/>
      <c r="W71" s="39"/>
      <c r="X71" s="39"/>
      <c r="Y71" s="39"/>
      <c r="Z71" s="39"/>
    </row>
    <row r="72" spans="1:26" ht="33">
      <c r="A72" s="239" t="s">
        <v>496</v>
      </c>
      <c r="B72" s="171"/>
      <c r="C72" s="171"/>
      <c r="D72" s="171"/>
      <c r="E72" s="171"/>
      <c r="F72" s="39"/>
      <c r="G72" s="39"/>
      <c r="H72" s="39"/>
      <c r="I72" s="39"/>
      <c r="J72" s="39"/>
      <c r="K72" s="39"/>
      <c r="L72" s="39"/>
      <c r="M72" s="39"/>
      <c r="N72" s="39"/>
      <c r="O72" s="39"/>
      <c r="P72" s="39"/>
      <c r="Q72" s="39"/>
      <c r="R72" s="39"/>
      <c r="S72" s="39"/>
      <c r="T72" s="39"/>
      <c r="U72" s="39"/>
      <c r="V72" s="39"/>
      <c r="W72" s="39"/>
      <c r="X72" s="39"/>
      <c r="Y72" s="39"/>
      <c r="Z72" s="39"/>
    </row>
    <row r="73" spans="1:26" ht="16.5">
      <c r="A73" s="34" t="s">
        <v>497</v>
      </c>
      <c r="B73" s="223">
        <v>5</v>
      </c>
      <c r="C73" s="171"/>
      <c r="D73" s="171"/>
      <c r="E73" s="171"/>
      <c r="F73" s="39"/>
      <c r="G73" s="39"/>
      <c r="H73" s="39"/>
      <c r="I73" s="39"/>
      <c r="J73" s="39"/>
      <c r="K73" s="39"/>
      <c r="L73" s="39"/>
      <c r="M73" s="39"/>
      <c r="N73" s="39"/>
      <c r="O73" s="39"/>
      <c r="P73" s="39"/>
      <c r="Q73" s="39"/>
      <c r="R73" s="39"/>
      <c r="S73" s="39"/>
      <c r="T73" s="39"/>
      <c r="U73" s="39"/>
      <c r="V73" s="39"/>
      <c r="W73" s="39"/>
      <c r="X73" s="39"/>
      <c r="Y73" s="39"/>
      <c r="Z73" s="39"/>
    </row>
    <row r="74" spans="1:26" ht="33">
      <c r="A74" s="34" t="s">
        <v>146</v>
      </c>
      <c r="B74" s="238">
        <v>0</v>
      </c>
      <c r="C74" s="171"/>
      <c r="D74" s="171"/>
      <c r="E74" s="171"/>
      <c r="F74" s="39"/>
      <c r="G74" s="39"/>
      <c r="H74" s="39"/>
      <c r="I74" s="39"/>
      <c r="J74" s="39"/>
      <c r="K74" s="39"/>
      <c r="L74" s="39"/>
      <c r="M74" s="39"/>
      <c r="N74" s="39"/>
      <c r="O74" s="39"/>
      <c r="P74" s="39"/>
      <c r="Q74" s="39"/>
      <c r="R74" s="39"/>
      <c r="S74" s="39"/>
      <c r="T74" s="39"/>
      <c r="U74" s="39"/>
      <c r="V74" s="39"/>
      <c r="W74" s="39"/>
      <c r="X74" s="39"/>
      <c r="Y74" s="39"/>
      <c r="Z74" s="39"/>
    </row>
    <row r="75" spans="1:26" ht="33">
      <c r="A75" s="239" t="s">
        <v>498</v>
      </c>
      <c r="B75" s="171"/>
      <c r="C75" s="171"/>
      <c r="D75" s="171"/>
      <c r="E75" s="171"/>
      <c r="F75" s="39"/>
      <c r="G75" s="39"/>
      <c r="H75" s="39"/>
      <c r="I75" s="39"/>
      <c r="J75" s="39"/>
      <c r="K75" s="39"/>
      <c r="L75" s="39"/>
      <c r="M75" s="39"/>
      <c r="N75" s="39"/>
      <c r="O75" s="39"/>
      <c r="P75" s="39"/>
      <c r="Q75" s="39"/>
      <c r="R75" s="39"/>
      <c r="S75" s="39"/>
      <c r="T75" s="39"/>
      <c r="U75" s="39"/>
      <c r="V75" s="39"/>
      <c r="W75" s="39"/>
      <c r="X75" s="39"/>
      <c r="Y75" s="39"/>
      <c r="Z75" s="39"/>
    </row>
    <row r="76" spans="1:26" ht="16.5">
      <c r="A76" s="34" t="s">
        <v>61</v>
      </c>
      <c r="B76" s="223">
        <v>5</v>
      </c>
      <c r="C76" s="171"/>
      <c r="D76" s="171"/>
      <c r="E76" s="171"/>
      <c r="F76" s="39"/>
      <c r="G76" s="39"/>
      <c r="H76" s="39"/>
      <c r="I76" s="39"/>
      <c r="J76" s="39"/>
      <c r="K76" s="39"/>
      <c r="L76" s="39"/>
      <c r="M76" s="39"/>
      <c r="N76" s="39"/>
      <c r="O76" s="39"/>
      <c r="P76" s="39"/>
      <c r="Q76" s="39"/>
      <c r="R76" s="39"/>
      <c r="S76" s="39"/>
      <c r="T76" s="39"/>
      <c r="U76" s="39"/>
      <c r="V76" s="39"/>
      <c r="W76" s="39"/>
      <c r="X76" s="39"/>
      <c r="Y76" s="39"/>
      <c r="Z76" s="39"/>
    </row>
    <row r="77" spans="1:26" ht="16.5">
      <c r="A77" s="34" t="s">
        <v>495</v>
      </c>
      <c r="B77" s="238">
        <v>2</v>
      </c>
      <c r="C77" s="171"/>
      <c r="D77" s="171"/>
      <c r="E77" s="171"/>
      <c r="F77" s="39"/>
      <c r="G77" s="39"/>
      <c r="H77" s="39"/>
      <c r="I77" s="39"/>
      <c r="J77" s="39"/>
      <c r="K77" s="39"/>
      <c r="L77" s="39"/>
      <c r="M77" s="39"/>
      <c r="N77" s="39"/>
      <c r="O77" s="39"/>
      <c r="P77" s="39"/>
      <c r="Q77" s="39"/>
      <c r="R77" s="39"/>
      <c r="S77" s="39"/>
      <c r="T77" s="39"/>
      <c r="U77" s="39"/>
      <c r="V77" s="39"/>
      <c r="W77" s="39"/>
      <c r="X77" s="39"/>
      <c r="Y77" s="39"/>
      <c r="Z77" s="39"/>
    </row>
    <row r="78" spans="1:26" ht="16.5">
      <c r="A78" s="34" t="s">
        <v>63</v>
      </c>
      <c r="B78" s="238">
        <v>0</v>
      </c>
      <c r="C78" s="171"/>
      <c r="D78" s="171"/>
      <c r="E78" s="171"/>
      <c r="F78" s="39"/>
      <c r="G78" s="39"/>
      <c r="H78" s="39"/>
      <c r="I78" s="39"/>
      <c r="J78" s="39"/>
      <c r="K78" s="39"/>
      <c r="L78" s="39"/>
      <c r="M78" s="39"/>
      <c r="N78" s="39"/>
      <c r="O78" s="39"/>
      <c r="P78" s="39"/>
      <c r="Q78" s="39"/>
      <c r="R78" s="39"/>
      <c r="S78" s="39"/>
      <c r="T78" s="39"/>
      <c r="U78" s="39"/>
      <c r="V78" s="39"/>
      <c r="W78" s="39"/>
      <c r="X78" s="39"/>
      <c r="Y78" s="39"/>
      <c r="Z78" s="39"/>
    </row>
    <row r="79" spans="1:26" ht="16.5">
      <c r="A79" s="240" t="s">
        <v>68</v>
      </c>
      <c r="B79" s="235">
        <f>B81+B86+B90+B93+B100</f>
        <v>30</v>
      </c>
      <c r="C79" s="236"/>
      <c r="D79" s="236"/>
      <c r="E79" s="236"/>
      <c r="F79" s="39"/>
      <c r="G79" s="39"/>
      <c r="H79" s="39"/>
      <c r="I79" s="39"/>
      <c r="J79" s="39"/>
      <c r="K79" s="39"/>
      <c r="L79" s="39"/>
      <c r="M79" s="39"/>
      <c r="N79" s="39"/>
      <c r="O79" s="39"/>
      <c r="P79" s="39"/>
      <c r="Q79" s="39"/>
      <c r="R79" s="39"/>
      <c r="S79" s="39"/>
      <c r="T79" s="39"/>
      <c r="U79" s="39"/>
      <c r="V79" s="39"/>
      <c r="W79" s="39"/>
      <c r="X79" s="39"/>
      <c r="Y79" s="39"/>
      <c r="Z79" s="39"/>
    </row>
    <row r="80" spans="1:26" ht="33">
      <c r="A80" s="237" t="s">
        <v>499</v>
      </c>
      <c r="B80" s="171"/>
      <c r="C80" s="171"/>
      <c r="D80" s="171"/>
      <c r="E80" s="171"/>
      <c r="F80" s="39"/>
      <c r="G80" s="39"/>
      <c r="H80" s="39"/>
      <c r="I80" s="39"/>
      <c r="J80" s="39"/>
      <c r="K80" s="39"/>
      <c r="L80" s="39"/>
      <c r="M80" s="39"/>
      <c r="N80" s="39"/>
      <c r="O80" s="39"/>
      <c r="P80" s="39"/>
      <c r="Q80" s="39"/>
      <c r="R80" s="39"/>
      <c r="S80" s="39"/>
      <c r="T80" s="39"/>
      <c r="U80" s="39"/>
      <c r="V80" s="39"/>
      <c r="W80" s="39"/>
      <c r="X80" s="39"/>
      <c r="Y80" s="39"/>
      <c r="Z80" s="39"/>
    </row>
    <row r="81" spans="1:26" ht="16.5">
      <c r="A81" s="34" t="s">
        <v>74</v>
      </c>
      <c r="B81" s="223">
        <v>10</v>
      </c>
      <c r="C81" s="171"/>
      <c r="D81" s="171"/>
      <c r="E81" s="171"/>
      <c r="F81" s="39"/>
      <c r="G81" s="39"/>
      <c r="H81" s="39"/>
      <c r="I81" s="39"/>
      <c r="J81" s="39"/>
      <c r="K81" s="39"/>
      <c r="L81" s="39"/>
      <c r="M81" s="39"/>
      <c r="N81" s="39"/>
      <c r="O81" s="39"/>
      <c r="P81" s="39"/>
      <c r="Q81" s="39"/>
      <c r="R81" s="39"/>
      <c r="S81" s="39"/>
      <c r="T81" s="39"/>
      <c r="U81" s="39"/>
      <c r="V81" s="39"/>
      <c r="W81" s="39"/>
      <c r="X81" s="39"/>
      <c r="Y81" s="39"/>
      <c r="Z81" s="39"/>
    </row>
    <row r="82" spans="1:26" ht="33">
      <c r="A82" s="34" t="s">
        <v>156</v>
      </c>
      <c r="B82" s="238">
        <v>5</v>
      </c>
      <c r="C82" s="171"/>
      <c r="D82" s="171"/>
      <c r="E82" s="171"/>
      <c r="F82" s="39"/>
      <c r="G82" s="39"/>
      <c r="H82" s="39"/>
      <c r="I82" s="39"/>
      <c r="J82" s="39"/>
      <c r="K82" s="39"/>
      <c r="L82" s="39"/>
      <c r="M82" s="39"/>
      <c r="N82" s="39"/>
      <c r="O82" s="39"/>
      <c r="P82" s="39"/>
      <c r="Q82" s="39"/>
      <c r="R82" s="39"/>
      <c r="S82" s="39"/>
      <c r="T82" s="39"/>
      <c r="U82" s="39"/>
      <c r="V82" s="39"/>
      <c r="W82" s="39"/>
      <c r="X82" s="39"/>
      <c r="Y82" s="39"/>
      <c r="Z82" s="39"/>
    </row>
    <row r="83" spans="1:26" ht="33">
      <c r="A83" s="34" t="s">
        <v>157</v>
      </c>
      <c r="B83" s="238">
        <v>2</v>
      </c>
      <c r="C83" s="171"/>
      <c r="D83" s="171"/>
      <c r="E83" s="171"/>
      <c r="F83" s="39"/>
      <c r="G83" s="39"/>
      <c r="H83" s="39"/>
      <c r="I83" s="39"/>
      <c r="J83" s="39"/>
      <c r="K83" s="39"/>
      <c r="L83" s="39"/>
      <c r="M83" s="39"/>
      <c r="N83" s="39"/>
      <c r="O83" s="39"/>
      <c r="P83" s="39"/>
      <c r="Q83" s="39"/>
      <c r="R83" s="39"/>
      <c r="S83" s="39"/>
      <c r="T83" s="39"/>
      <c r="U83" s="39"/>
      <c r="V83" s="39"/>
      <c r="W83" s="39"/>
      <c r="X83" s="39"/>
      <c r="Y83" s="39"/>
      <c r="Z83" s="39"/>
    </row>
    <row r="84" spans="1:26" ht="16.5">
      <c r="A84" s="243" t="s">
        <v>158</v>
      </c>
      <c r="B84" s="238">
        <v>-5</v>
      </c>
      <c r="C84" s="171"/>
      <c r="D84" s="171"/>
      <c r="E84" s="171"/>
      <c r="F84" s="39"/>
      <c r="G84" s="39"/>
      <c r="H84" s="39"/>
      <c r="I84" s="39"/>
      <c r="J84" s="39"/>
      <c r="K84" s="39"/>
      <c r="L84" s="39"/>
      <c r="M84" s="39"/>
      <c r="N84" s="39"/>
      <c r="O84" s="39"/>
      <c r="P84" s="39"/>
      <c r="Q84" s="39"/>
      <c r="R84" s="39"/>
      <c r="S84" s="39"/>
      <c r="T84" s="39"/>
      <c r="U84" s="39"/>
      <c r="V84" s="39"/>
      <c r="W84" s="39"/>
      <c r="X84" s="39"/>
      <c r="Y84" s="39"/>
      <c r="Z84" s="39"/>
    </row>
    <row r="85" spans="1:26" ht="16.5">
      <c r="A85" s="237" t="s">
        <v>500</v>
      </c>
      <c r="B85" s="171"/>
      <c r="C85" s="171"/>
      <c r="D85" s="171"/>
      <c r="E85" s="171"/>
      <c r="F85" s="39"/>
      <c r="G85" s="39"/>
      <c r="H85" s="39"/>
      <c r="I85" s="39"/>
      <c r="J85" s="39"/>
      <c r="K85" s="39"/>
      <c r="L85" s="39"/>
      <c r="M85" s="39"/>
      <c r="N85" s="39"/>
      <c r="O85" s="39"/>
      <c r="P85" s="39"/>
      <c r="Q85" s="39"/>
      <c r="R85" s="39"/>
      <c r="S85" s="39"/>
      <c r="T85" s="39"/>
      <c r="U85" s="39"/>
      <c r="V85" s="39"/>
      <c r="W85" s="39"/>
      <c r="X85" s="39"/>
      <c r="Y85" s="39"/>
      <c r="Z85" s="39"/>
    </row>
    <row r="86" spans="1:26" ht="16.5">
      <c r="A86" s="34" t="s">
        <v>78</v>
      </c>
      <c r="B86" s="223">
        <v>5</v>
      </c>
      <c r="C86" s="171"/>
      <c r="D86" s="171"/>
      <c r="E86" s="171"/>
      <c r="F86" s="39"/>
      <c r="G86" s="39"/>
      <c r="H86" s="39"/>
      <c r="I86" s="39"/>
      <c r="J86" s="39"/>
      <c r="K86" s="39"/>
      <c r="L86" s="39"/>
      <c r="M86" s="39"/>
      <c r="N86" s="39"/>
      <c r="O86" s="39"/>
      <c r="P86" s="39"/>
      <c r="Q86" s="39"/>
      <c r="R86" s="39"/>
      <c r="S86" s="39"/>
      <c r="T86" s="39"/>
      <c r="U86" s="39"/>
      <c r="V86" s="39"/>
      <c r="W86" s="39"/>
      <c r="X86" s="39"/>
      <c r="Y86" s="39"/>
      <c r="Z86" s="39"/>
    </row>
    <row r="87" spans="1:26" ht="16.5">
      <c r="A87" s="34" t="s">
        <v>79</v>
      </c>
      <c r="B87" s="238">
        <v>3</v>
      </c>
      <c r="C87" s="171"/>
      <c r="D87" s="171"/>
      <c r="E87" s="171"/>
      <c r="F87" s="39"/>
      <c r="G87" s="39"/>
      <c r="H87" s="39"/>
      <c r="I87" s="39"/>
      <c r="J87" s="39"/>
      <c r="K87" s="39"/>
      <c r="L87" s="39"/>
      <c r="M87" s="39"/>
      <c r="N87" s="39"/>
      <c r="O87" s="39"/>
      <c r="P87" s="39"/>
      <c r="Q87" s="39"/>
      <c r="R87" s="39"/>
      <c r="S87" s="39"/>
      <c r="T87" s="39"/>
      <c r="U87" s="39"/>
      <c r="V87" s="39"/>
      <c r="W87" s="39"/>
      <c r="X87" s="39"/>
      <c r="Y87" s="39"/>
      <c r="Z87" s="39"/>
    </row>
    <row r="88" spans="1:26" ht="16.5">
      <c r="A88" s="34" t="s">
        <v>160</v>
      </c>
      <c r="B88" s="238">
        <v>0</v>
      </c>
      <c r="C88" s="171"/>
      <c r="D88" s="171"/>
      <c r="E88" s="171"/>
      <c r="F88" s="39"/>
      <c r="G88" s="39"/>
      <c r="H88" s="39"/>
      <c r="I88" s="39"/>
      <c r="J88" s="39"/>
      <c r="K88" s="39"/>
      <c r="L88" s="39"/>
      <c r="M88" s="39"/>
      <c r="N88" s="39"/>
      <c r="O88" s="39"/>
      <c r="P88" s="39"/>
      <c r="Q88" s="39"/>
      <c r="R88" s="39"/>
      <c r="S88" s="39"/>
      <c r="T88" s="39"/>
      <c r="U88" s="39"/>
      <c r="V88" s="39"/>
      <c r="W88" s="39"/>
      <c r="X88" s="39"/>
      <c r="Y88" s="39"/>
      <c r="Z88" s="39"/>
    </row>
    <row r="89" spans="1:26" ht="16.5">
      <c r="A89" s="239" t="s">
        <v>81</v>
      </c>
      <c r="B89" s="171"/>
      <c r="C89" s="171"/>
      <c r="D89" s="171"/>
      <c r="E89" s="171"/>
      <c r="F89" s="39"/>
      <c r="G89" s="39"/>
      <c r="H89" s="39"/>
      <c r="I89" s="39"/>
      <c r="J89" s="39"/>
      <c r="K89" s="39"/>
      <c r="L89" s="39"/>
      <c r="M89" s="39"/>
      <c r="N89" s="39"/>
      <c r="O89" s="39"/>
      <c r="P89" s="39"/>
      <c r="Q89" s="39"/>
      <c r="R89" s="39"/>
      <c r="S89" s="39"/>
      <c r="T89" s="39"/>
      <c r="U89" s="39"/>
      <c r="V89" s="39"/>
      <c r="W89" s="39"/>
      <c r="X89" s="39"/>
      <c r="Y89" s="39"/>
      <c r="Z89" s="39"/>
    </row>
    <row r="90" spans="1:26" ht="33">
      <c r="A90" s="34" t="s">
        <v>161</v>
      </c>
      <c r="B90" s="223">
        <v>5</v>
      </c>
      <c r="C90" s="171"/>
      <c r="D90" s="171"/>
      <c r="E90" s="171"/>
      <c r="F90" s="39"/>
      <c r="G90" s="39"/>
      <c r="H90" s="39"/>
      <c r="I90" s="39"/>
      <c r="J90" s="39"/>
      <c r="K90" s="39"/>
      <c r="L90" s="39"/>
      <c r="M90" s="39"/>
      <c r="N90" s="39"/>
      <c r="O90" s="39"/>
      <c r="P90" s="39"/>
      <c r="Q90" s="39"/>
      <c r="R90" s="39"/>
      <c r="S90" s="39"/>
      <c r="T90" s="39"/>
      <c r="U90" s="39"/>
      <c r="V90" s="39"/>
      <c r="W90" s="39"/>
      <c r="X90" s="39"/>
      <c r="Y90" s="39"/>
      <c r="Z90" s="39"/>
    </row>
    <row r="91" spans="1:26" ht="33">
      <c r="A91" s="34" t="s">
        <v>162</v>
      </c>
      <c r="B91" s="238">
        <v>0</v>
      </c>
      <c r="C91" s="171"/>
      <c r="D91" s="171"/>
      <c r="E91" s="171"/>
      <c r="F91" s="39"/>
      <c r="G91" s="39"/>
      <c r="H91" s="39"/>
      <c r="I91" s="39"/>
      <c r="J91" s="39"/>
      <c r="K91" s="39"/>
      <c r="L91" s="39"/>
      <c r="M91" s="39"/>
      <c r="N91" s="39"/>
      <c r="O91" s="39"/>
      <c r="P91" s="39"/>
      <c r="Q91" s="39"/>
      <c r="R91" s="39"/>
      <c r="S91" s="39"/>
      <c r="T91" s="39"/>
      <c r="U91" s="39"/>
      <c r="V91" s="39"/>
      <c r="W91" s="39"/>
      <c r="X91" s="39"/>
      <c r="Y91" s="39"/>
      <c r="Z91" s="39"/>
    </row>
    <row r="92" spans="1:26" ht="16.5">
      <c r="A92" s="237" t="s">
        <v>501</v>
      </c>
      <c r="B92" s="171"/>
      <c r="C92" s="171"/>
      <c r="D92" s="171"/>
      <c r="E92" s="171"/>
      <c r="F92" s="39"/>
      <c r="G92" s="39"/>
      <c r="H92" s="39"/>
      <c r="I92" s="39"/>
      <c r="J92" s="39"/>
      <c r="K92" s="39"/>
      <c r="L92" s="39"/>
      <c r="M92" s="39"/>
      <c r="N92" s="39"/>
      <c r="O92" s="39"/>
      <c r="P92" s="39"/>
      <c r="Q92" s="39"/>
      <c r="R92" s="39"/>
      <c r="S92" s="39"/>
      <c r="T92" s="39"/>
      <c r="U92" s="39"/>
      <c r="V92" s="39"/>
      <c r="W92" s="39"/>
      <c r="X92" s="39"/>
      <c r="Y92" s="39"/>
      <c r="Z92" s="39"/>
    </row>
    <row r="93" spans="1:26" ht="16.5">
      <c r="A93" s="34" t="s">
        <v>502</v>
      </c>
      <c r="B93" s="223">
        <v>5</v>
      </c>
      <c r="C93" s="171"/>
      <c r="D93" s="171"/>
      <c r="E93" s="171"/>
      <c r="F93" s="39"/>
      <c r="G93" s="39"/>
      <c r="H93" s="39"/>
      <c r="I93" s="39"/>
      <c r="J93" s="39"/>
      <c r="K93" s="39"/>
      <c r="L93" s="39"/>
      <c r="M93" s="39"/>
      <c r="N93" s="39"/>
      <c r="O93" s="39"/>
      <c r="P93" s="39"/>
      <c r="Q93" s="39"/>
      <c r="R93" s="39"/>
      <c r="S93" s="39"/>
      <c r="T93" s="39"/>
      <c r="U93" s="39"/>
      <c r="V93" s="39"/>
      <c r="W93" s="39"/>
      <c r="X93" s="39"/>
      <c r="Y93" s="39"/>
      <c r="Z93" s="39"/>
    </row>
    <row r="94" spans="1:26" ht="16.5">
      <c r="A94" s="34" t="s">
        <v>503</v>
      </c>
      <c r="B94" s="238">
        <v>0</v>
      </c>
      <c r="C94" s="171"/>
      <c r="D94" s="171"/>
      <c r="E94" s="171"/>
      <c r="F94" s="39"/>
      <c r="G94" s="39"/>
      <c r="H94" s="39"/>
      <c r="I94" s="39"/>
      <c r="J94" s="39"/>
      <c r="K94" s="39"/>
      <c r="L94" s="39"/>
      <c r="M94" s="39"/>
      <c r="N94" s="39"/>
      <c r="O94" s="39"/>
      <c r="P94" s="39"/>
      <c r="Q94" s="39"/>
      <c r="R94" s="39"/>
      <c r="S94" s="39"/>
      <c r="T94" s="39"/>
      <c r="U94" s="39"/>
      <c r="V94" s="39"/>
      <c r="W94" s="39"/>
      <c r="X94" s="39"/>
      <c r="Y94" s="39"/>
      <c r="Z94" s="39"/>
    </row>
    <row r="95" spans="1:26" ht="16.5">
      <c r="A95" s="237" t="s">
        <v>504</v>
      </c>
      <c r="B95" s="171"/>
      <c r="C95" s="171"/>
      <c r="D95" s="171"/>
      <c r="E95" s="171"/>
      <c r="F95" s="39"/>
      <c r="G95" s="39"/>
      <c r="H95" s="39"/>
      <c r="I95" s="39"/>
      <c r="J95" s="39"/>
      <c r="K95" s="39"/>
      <c r="L95" s="39"/>
      <c r="M95" s="39"/>
      <c r="N95" s="39"/>
      <c r="O95" s="39"/>
      <c r="P95" s="39"/>
      <c r="Q95" s="39"/>
      <c r="R95" s="39"/>
      <c r="S95" s="39"/>
      <c r="T95" s="39"/>
      <c r="U95" s="39"/>
      <c r="V95" s="39"/>
      <c r="W95" s="39"/>
      <c r="X95" s="39"/>
      <c r="Y95" s="39"/>
      <c r="Z95" s="39"/>
    </row>
    <row r="96" spans="1:26" ht="16.5">
      <c r="A96" s="34" t="s">
        <v>70</v>
      </c>
      <c r="B96" s="223">
        <v>5</v>
      </c>
      <c r="C96" s="171"/>
      <c r="D96" s="171"/>
      <c r="E96" s="171"/>
      <c r="F96" s="39"/>
      <c r="G96" s="39"/>
      <c r="H96" s="39"/>
      <c r="I96" s="39"/>
      <c r="J96" s="39"/>
      <c r="K96" s="39"/>
      <c r="L96" s="39"/>
      <c r="M96" s="39"/>
      <c r="N96" s="39"/>
      <c r="O96" s="39"/>
      <c r="P96" s="39"/>
      <c r="Q96" s="39"/>
      <c r="R96" s="39"/>
      <c r="S96" s="39"/>
      <c r="T96" s="39"/>
      <c r="U96" s="39"/>
      <c r="V96" s="39"/>
      <c r="W96" s="39"/>
      <c r="X96" s="39"/>
      <c r="Y96" s="39"/>
      <c r="Z96" s="39"/>
    </row>
    <row r="97" spans="1:26" ht="16.5">
      <c r="A97" s="34" t="s">
        <v>71</v>
      </c>
      <c r="B97" s="238">
        <v>3</v>
      </c>
      <c r="C97" s="171"/>
      <c r="D97" s="171"/>
      <c r="E97" s="171"/>
      <c r="F97" s="39"/>
      <c r="G97" s="39"/>
      <c r="H97" s="39"/>
      <c r="I97" s="39"/>
      <c r="J97" s="39"/>
      <c r="K97" s="39"/>
      <c r="L97" s="39"/>
      <c r="M97" s="39"/>
      <c r="N97" s="39"/>
      <c r="O97" s="39"/>
      <c r="P97" s="39"/>
      <c r="Q97" s="39"/>
      <c r="R97" s="39"/>
      <c r="S97" s="39"/>
      <c r="T97" s="39"/>
      <c r="U97" s="39"/>
      <c r="V97" s="39"/>
      <c r="W97" s="39"/>
      <c r="X97" s="39"/>
      <c r="Y97" s="39"/>
      <c r="Z97" s="39"/>
    </row>
    <row r="98" spans="1:26" ht="16.5">
      <c r="A98" s="34" t="s">
        <v>72</v>
      </c>
      <c r="B98" s="238">
        <v>0</v>
      </c>
      <c r="C98" s="171"/>
      <c r="D98" s="171"/>
      <c r="E98" s="171"/>
      <c r="F98" s="39"/>
      <c r="G98" s="39"/>
      <c r="H98" s="39"/>
      <c r="I98" s="39"/>
      <c r="J98" s="39"/>
      <c r="K98" s="39"/>
      <c r="L98" s="39"/>
      <c r="M98" s="39"/>
      <c r="N98" s="39"/>
      <c r="O98" s="39"/>
      <c r="P98" s="39"/>
      <c r="Q98" s="39"/>
      <c r="R98" s="39"/>
      <c r="S98" s="39"/>
      <c r="T98" s="39"/>
      <c r="U98" s="39"/>
      <c r="V98" s="39"/>
      <c r="W98" s="39"/>
      <c r="X98" s="39"/>
      <c r="Y98" s="39"/>
      <c r="Z98" s="39"/>
    </row>
    <row r="99" spans="1:26" ht="16.5">
      <c r="A99" s="239" t="s">
        <v>345</v>
      </c>
      <c r="B99" s="171"/>
      <c r="C99" s="171"/>
      <c r="D99" s="171"/>
      <c r="E99" s="171"/>
      <c r="F99" s="39"/>
      <c r="G99" s="39"/>
      <c r="H99" s="39"/>
      <c r="I99" s="39"/>
      <c r="J99" s="39"/>
      <c r="K99" s="39"/>
      <c r="L99" s="39"/>
      <c r="M99" s="39"/>
      <c r="N99" s="39"/>
      <c r="O99" s="39"/>
      <c r="P99" s="39"/>
      <c r="Q99" s="39"/>
      <c r="R99" s="39"/>
      <c r="S99" s="39"/>
      <c r="T99" s="39"/>
      <c r="U99" s="39"/>
      <c r="V99" s="39"/>
      <c r="W99" s="39"/>
      <c r="X99" s="39"/>
      <c r="Y99" s="39"/>
      <c r="Z99" s="39"/>
    </row>
    <row r="100" spans="1:26" ht="16.5">
      <c r="A100" s="34" t="s">
        <v>389</v>
      </c>
      <c r="B100" s="223">
        <v>5</v>
      </c>
      <c r="C100" s="171"/>
      <c r="D100" s="171"/>
      <c r="E100" s="171"/>
      <c r="F100" s="39"/>
      <c r="G100" s="39"/>
      <c r="H100" s="39"/>
      <c r="I100" s="39"/>
      <c r="J100" s="39"/>
      <c r="K100" s="39"/>
      <c r="L100" s="39"/>
      <c r="M100" s="39"/>
      <c r="N100" s="39"/>
      <c r="O100" s="39"/>
      <c r="P100" s="39"/>
      <c r="Q100" s="39"/>
      <c r="R100" s="39"/>
      <c r="S100" s="39"/>
      <c r="T100" s="39"/>
      <c r="U100" s="39"/>
      <c r="V100" s="39"/>
      <c r="W100" s="39"/>
      <c r="X100" s="39"/>
      <c r="Y100" s="39"/>
      <c r="Z100" s="39"/>
    </row>
    <row r="101" spans="1:26" ht="16.5">
      <c r="A101" s="34" t="s">
        <v>87</v>
      </c>
      <c r="B101" s="238">
        <v>3</v>
      </c>
      <c r="C101" s="171"/>
      <c r="D101" s="171"/>
      <c r="E101" s="171"/>
      <c r="F101" s="39"/>
      <c r="G101" s="39"/>
      <c r="H101" s="39"/>
      <c r="I101" s="39"/>
      <c r="J101" s="39"/>
      <c r="K101" s="39"/>
      <c r="L101" s="39"/>
      <c r="M101" s="39"/>
      <c r="N101" s="39"/>
      <c r="O101" s="39"/>
      <c r="P101" s="39"/>
      <c r="Q101" s="39"/>
      <c r="R101" s="39"/>
      <c r="S101" s="39"/>
      <c r="T101" s="39"/>
      <c r="U101" s="39"/>
      <c r="V101" s="39"/>
      <c r="W101" s="39"/>
      <c r="X101" s="39"/>
      <c r="Y101" s="39"/>
      <c r="Z101" s="39"/>
    </row>
    <row r="102" spans="1:26" ht="16.5">
      <c r="A102" s="34" t="s">
        <v>88</v>
      </c>
      <c r="B102" s="238">
        <v>0</v>
      </c>
      <c r="C102" s="171"/>
      <c r="D102" s="171"/>
      <c r="E102" s="171"/>
      <c r="F102" s="39"/>
      <c r="G102" s="39"/>
      <c r="H102" s="39"/>
      <c r="I102" s="39"/>
      <c r="J102" s="39"/>
      <c r="K102" s="39"/>
      <c r="L102" s="39"/>
      <c r="M102" s="39"/>
      <c r="N102" s="39"/>
      <c r="O102" s="39"/>
      <c r="P102" s="39"/>
      <c r="Q102" s="39"/>
      <c r="R102" s="39"/>
      <c r="S102" s="39"/>
      <c r="T102" s="39"/>
      <c r="U102" s="39"/>
      <c r="V102" s="39"/>
      <c r="W102" s="39"/>
      <c r="X102" s="39"/>
      <c r="Y102" s="39"/>
      <c r="Z102" s="39"/>
    </row>
    <row r="103" spans="1:26" ht="16.5">
      <c r="A103" s="244" t="s">
        <v>89</v>
      </c>
      <c r="B103" s="245">
        <f>B79+B59+B49+B12</f>
        <v>100</v>
      </c>
      <c r="C103" s="171"/>
      <c r="D103" s="171"/>
      <c r="E103" s="171"/>
      <c r="F103" s="39"/>
      <c r="G103" s="39"/>
      <c r="H103" s="39"/>
      <c r="I103" s="39"/>
      <c r="J103" s="39"/>
      <c r="K103" s="39"/>
      <c r="L103" s="39"/>
      <c r="M103" s="39"/>
      <c r="N103" s="39"/>
      <c r="O103" s="39"/>
      <c r="P103" s="39"/>
      <c r="Q103" s="39"/>
      <c r="R103" s="39"/>
      <c r="S103" s="39"/>
      <c r="T103" s="39"/>
      <c r="U103" s="39"/>
      <c r="V103" s="39"/>
      <c r="W103" s="39"/>
      <c r="X103" s="39"/>
      <c r="Y103" s="39"/>
      <c r="Z103" s="39"/>
    </row>
    <row r="104" spans="1:26" ht="15.75">
      <c r="A104" s="70" t="s">
        <v>505</v>
      </c>
      <c r="B104" s="71">
        <v>-10</v>
      </c>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15.75">
      <c r="A105" s="72"/>
      <c r="B105" s="73"/>
      <c r="C105" s="74">
        <f t="shared" ref="C105:E105" si="0">SUM(C13:C104)</f>
        <v>0</v>
      </c>
      <c r="D105" s="74">
        <f t="shared" si="0"/>
        <v>0</v>
      </c>
      <c r="E105" s="74">
        <f t="shared" si="0"/>
        <v>0</v>
      </c>
      <c r="F105" s="39"/>
      <c r="G105" s="39"/>
      <c r="H105" s="39"/>
      <c r="I105" s="39"/>
      <c r="J105" s="39"/>
      <c r="K105" s="39"/>
      <c r="L105" s="39"/>
      <c r="M105" s="39"/>
      <c r="N105" s="39"/>
      <c r="O105" s="39"/>
      <c r="P105" s="39"/>
      <c r="Q105" s="39"/>
      <c r="R105" s="39"/>
      <c r="S105" s="39"/>
      <c r="T105" s="39"/>
      <c r="U105" s="39"/>
      <c r="V105" s="39"/>
      <c r="W105" s="39"/>
      <c r="X105" s="39"/>
      <c r="Y105" s="39"/>
      <c r="Z105" s="39"/>
    </row>
    <row r="106" spans="1:26" ht="16.5">
      <c r="A106" s="272" t="s">
        <v>186</v>
      </c>
      <c r="B106" s="263"/>
      <c r="C106" s="263"/>
      <c r="D106" s="263"/>
      <c r="E106" s="264"/>
      <c r="F106" s="75"/>
      <c r="G106" s="75"/>
      <c r="H106" s="39"/>
      <c r="I106" s="39"/>
      <c r="J106" s="39"/>
      <c r="K106" s="39"/>
      <c r="L106" s="39"/>
      <c r="M106" s="39"/>
      <c r="N106" s="39"/>
      <c r="O106" s="39"/>
      <c r="P106" s="39"/>
      <c r="Q106" s="39"/>
      <c r="R106" s="39"/>
      <c r="S106" s="39"/>
      <c r="T106" s="39"/>
      <c r="U106" s="39"/>
      <c r="V106" s="39"/>
      <c r="W106" s="39"/>
      <c r="X106" s="39"/>
      <c r="Y106" s="39"/>
      <c r="Z106" s="39"/>
    </row>
    <row r="107" spans="1:26" ht="15.75">
      <c r="A107" s="40"/>
      <c r="B107" s="39"/>
      <c r="C107" s="39"/>
      <c r="D107" s="39"/>
      <c r="E107" s="40"/>
      <c r="F107" s="39"/>
      <c r="G107" s="39"/>
      <c r="H107" s="39"/>
      <c r="I107" s="39"/>
      <c r="J107" s="39"/>
      <c r="K107" s="39"/>
      <c r="L107" s="39"/>
      <c r="M107" s="39"/>
      <c r="N107" s="39"/>
      <c r="O107" s="39"/>
      <c r="P107" s="39"/>
      <c r="Q107" s="39"/>
      <c r="R107" s="39"/>
      <c r="S107" s="39"/>
      <c r="T107" s="39"/>
      <c r="U107" s="39"/>
      <c r="V107" s="39"/>
      <c r="W107" s="39"/>
      <c r="X107" s="39"/>
      <c r="Y107" s="39"/>
      <c r="Z107" s="39"/>
    </row>
    <row r="108" spans="1:26" ht="15.75">
      <c r="A108" s="76" t="s">
        <v>506</v>
      </c>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15.75">
      <c r="A109" s="77" t="s">
        <v>507</v>
      </c>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15.75">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15.75">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15.75">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15.75">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15.75">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15.75">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ht="15.75">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15.75">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15.75">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15.75">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15.75">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15.75">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15.75">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15.75">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ht="15.75">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15.75">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15.75">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15.75">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15.75">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15.75">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15.75">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15.75">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ht="15.75">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15.75">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ht="15.75">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15.75">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15.75">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15.75">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15.75">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15.75">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15.75">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15.75">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ht="15.75">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15.75">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15.75">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15.75">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15.75">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15.75">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15.75">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15.75">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ht="15.75">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15.75">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15.75">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15.75">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15.75">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15.75">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15.75">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15.75">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ht="15.75">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15.75">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15.75">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15.75">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15.75">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15.75">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15.75">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15.75">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ht="15.75">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15.75">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15.75">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15.75">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15.75">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15.75">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15.75">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15.75">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ht="15.75">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15.75">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15.75">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15.75">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15.75">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15.75">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15.75">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15.75">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ht="15.75">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15.75">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15.75">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15.75">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15.75">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15.75">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15.75">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15.75">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ht="15.75">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ht="15.75">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15.75">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15.75">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15.75">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15.75">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15.75">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15.75">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ht="15.75">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15.75">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15.75">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15.75">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15.75">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15.75">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15.75">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15.75">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ht="15.75">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15.75">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15.75">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15.75">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15.75">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15.75">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15.75">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15.75">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ht="15.75">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15.75">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15.75">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15.75">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15.75">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15.75">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15.75">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15.75">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ht="15.75">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15.75">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15.75">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15.75">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15.75">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15.75">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15.75">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15.75">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ht="15.75">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15.75">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ht="15.75">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ht="15.75">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15.75">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15.75">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15.75">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15.75">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15.75">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15.75">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ht="15.75">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15.75">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15.75">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15.75">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15.75">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15.75">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15.75">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15.75">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ht="15.75">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15.75">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15.75">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15.75">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15.75">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15.75">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15.75">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15.7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ht="15.75">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15.75">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15.75">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15.75">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15.75">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15.75">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15.75">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15.75">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ht="15.75">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15.7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15.75">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15.75">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15.75">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15.75">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15.75">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15.75">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ht="15.75">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15.75">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15.75">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15.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15.75">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15.75">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15.75">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15.75">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ht="15.75">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15.75">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15.75">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15.75">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15.75">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15.7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15.75">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15.75">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ht="15.75">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15.75">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15.75">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15.75">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15.75">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15.75">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15.75">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15.7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ht="15.75">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15.75">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15.75">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15.75">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15.75">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15.75">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15.75">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15.75">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ht="15.75">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15.7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15.75">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15.75">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15.75">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15.75">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15.75">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15.75">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ht="15.75">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ht="15.75">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ht="15.75">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15.7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15.75">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15.75">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15.75">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15.75">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15.75">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15.75">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ht="15.75">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ht="15.75">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15.75">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15.7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15.75">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15.75">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15.75">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15.75">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ht="15.75">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ht="15.75">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15.75">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15.75">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15.75">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15.7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15.75">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15.75">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ht="15.75">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ht="15.75">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15.75">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15.75">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15.75">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15.75">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15.75">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15.7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ht="15.75">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ht="15.75">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15.75">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15.75">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15.75">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15.75">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15.75">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15.75">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ht="15.75">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ht="15.7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15.75">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15.75">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15.75">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15.75">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15.75">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15.75">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ht="15.75">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ht="15.75">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15.75">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15.7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15.75">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15.75">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15.75">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15.75">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ht="15.75">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15.75">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ht="15.75">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15.75">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15.75">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15.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15.75">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15.75">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15.75">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15.75">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ht="15.75">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ht="15.75">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15.75">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15.75">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15.75">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15.7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15.75">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15.75">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ht="15.75">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15.75">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15.75">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15.75">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15.75">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15.75">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15.75">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15.7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ht="15.75">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15.75">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15.75">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15.75">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15.75">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15.75">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15.75">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15.75">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ht="15.75">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ht="15.7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15.75">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15.75">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15.75">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15.75">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15.75">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15.75">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ht="15.75">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15.75">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ht="15.75">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ht="15.7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15.75">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15.75">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15.75">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15.75">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15.75">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15.75">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ht="15.75">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15.75">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15.75">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15.7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15.75">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15.75">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15.75">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15.75">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ht="15.75">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15.75">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15.75">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15.75">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15.75">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15.7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15.75">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15.75">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ht="15.75">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15.75">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ht="15.75">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15.75">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15.75">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15.75">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15.75">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15.7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15.75">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15.75">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ht="15.75">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15.75">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15.75">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15.75">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15.75">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15.75">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15.75">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15.7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ht="15.75">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ht="15.75">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15.75">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15.75">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15.75">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15.75">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15.75">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15.75">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ht="15.75">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ht="15.7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15.75">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15.75">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15.75">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15.75">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15.75">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15.75">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ht="15.75">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ht="15.75">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ht="15.75">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15.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15.75">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15.75">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15.75">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15.75">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ht="15.75">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ht="15.75">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15.75">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15.75">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15.75">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15.7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15.75">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15.75">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ht="15.75">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ht="15.75">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15.75">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15.75">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15.75">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15.75">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15.75">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15.7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ht="15.75">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15.75">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ht="15.75">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ht="15.75">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15.75">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15.75">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15.75">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15.75">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15.75">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15.7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ht="15.75">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ht="15.75">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15.75">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15.75">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15.75">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15.75">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15.75">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15.75">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ht="15.75">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ht="15.7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15.75">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15.75">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15.75">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15.75">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15.75">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15.75">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ht="15.75">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ht="15.75">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15.75">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15.7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15.75">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15.75">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15.75">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15.75">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ht="15.75">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ht="15.75">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15.75">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15.75">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15.75">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15.7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15.75">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15.75">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ht="15.75">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ht="15.75">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ht="15.75">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ht="15.75">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15.75">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15.75">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15.75">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15.7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15.75">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15.75">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ht="15.75">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ht="15.75">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15.75">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15.75">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15.75">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15.75">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15.75">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15.7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ht="15.75">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ht="15.75">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15.75">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15.75">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15.75">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15.75">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15.75">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15.75">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ht="15.75">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ht="15.7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15.75">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15.75">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15.75">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15.75">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15.75">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15.75">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ht="15.75">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ht="15.75">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15.75">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1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15.75">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15.75">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15.75">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15.75">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ht="15.75">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ht="15.75">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ht="15.75">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ht="15.75">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ht="15.75">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ht="15.7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ht="15.75">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ht="15.75">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ht="15.75">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ht="15.75">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ht="15.75">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ht="15.75">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ht="15.75">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ht="15.75">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ht="15.75">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ht="15.7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ht="15.75">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ht="15.75">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ht="15.75">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ht="15.75">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ht="15.75">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ht="15.75">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ht="15.75">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ht="15.75">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ht="15.75">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ht="15.7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ht="15.75">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ht="15.75">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ht="15.75">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ht="15.75">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ht="15.75">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ht="15.75">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ht="15.75">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ht="15.75">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ht="15.75">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ht="15.7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ht="15.75">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ht="15.75">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ht="15.75">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ht="15.75">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ht="15.75">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ht="15.75">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ht="15.75">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ht="15.75">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ht="15.75">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ht="15.7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ht="15.75">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ht="15.75">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ht="15.75">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ht="15.75">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ht="15.75">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ht="15.75">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ht="15.75">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ht="15.75">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ht="15.75">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ht="15.7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ht="15.75">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ht="15.75">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ht="15.75">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ht="15.75">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ht="15.75">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ht="15.75">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ht="15.75">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ht="15.75">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ht="15.75">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ht="15.7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ht="15.75">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ht="15.75">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ht="15.75">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ht="15.75">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ht="15.75">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ht="15.75">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ht="15.75">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ht="15.75">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ht="15.75">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ht="15.7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ht="15.75">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ht="15.75">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ht="15.75">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ht="15.75">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ht="15.75">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ht="15.75">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ht="15.75">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ht="15.75">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ht="15.75">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ht="15.7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ht="15.75">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ht="15.75">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ht="15.75">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ht="15.75">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ht="15.75">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ht="15.75">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ht="15.75">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ht="15.75">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ht="15.75">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ht="15.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ht="15.75">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ht="15.75">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ht="15.75">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ht="15.75">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ht="15.75">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ht="15.75">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ht="15.75">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ht="15.75">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ht="15.75">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ht="15.7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ht="15.75">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ht="15.75">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ht="15.75">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ht="15.75">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ht="15.75">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ht="15.75">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ht="15.75">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ht="15.75">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ht="15.75">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ht="15.7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ht="15.75">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ht="15.75">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ht="15.75">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ht="15.75">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ht="15.75">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ht="15.75">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ht="15.75">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ht="15.75">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ht="15.75">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ht="15.7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ht="15.75">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ht="15.75">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ht="15.75">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ht="15.75">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ht="15.75">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ht="15.75">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ht="15.75">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ht="15.75">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ht="15.75">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ht="15.7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ht="15.75">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ht="15.75">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ht="15.75">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ht="15.75">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ht="15.75">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ht="15.75">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ht="15.75">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ht="15.75">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ht="15.75">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ht="15.7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ht="15.75">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ht="15.75">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ht="15.75">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ht="15.75">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ht="15.75">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ht="15.75">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ht="15.75">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ht="15.75">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ht="15.75">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ht="15.7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ht="15.75">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ht="15.75">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ht="15.75">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ht="15.75">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ht="15.75">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ht="15.75">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ht="15.75">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ht="15.75">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ht="15.75">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ht="15.7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ht="15.75">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ht="15.75">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ht="15.75">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ht="15.75">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ht="15.75">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ht="15.75">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ht="15.75">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ht="15.75">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ht="15.75">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ht="15.7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ht="15.75">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ht="15.75">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ht="15.75">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ht="15.75">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ht="15.75">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ht="15.75">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ht="15.75">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ht="15.75">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ht="15.75">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ht="15.7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ht="15.75">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ht="15.75">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ht="15.75">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ht="15.75">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ht="15.75">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ht="15.75">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ht="15.75">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ht="15.75">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ht="15.75">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ht="15.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ht="15.75">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ht="15.75">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ht="15.75">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ht="15.75">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ht="15.75">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ht="15.75">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ht="15.75">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ht="15.75">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ht="15.75">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ht="15.7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ht="15.75">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ht="15.75">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ht="15.75">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ht="15.75">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ht="15.75">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ht="15.75">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ht="15.75">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ht="15.75">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ht="15.75">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ht="15.7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ht="15.75">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ht="15.75">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ht="15.75">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ht="15.75">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ht="15.75">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ht="15.75">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ht="15.75">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ht="15.75">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ht="15.75">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ht="15.7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ht="15.75">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ht="15.75">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ht="15.75">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ht="15.75">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ht="15.75">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ht="15.75">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ht="15.75">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ht="15.75">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ht="15.75">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ht="15.7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ht="15.75">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ht="15.75">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ht="15.75">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ht="15.75">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ht="15.75">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ht="15.75">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ht="15.75">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ht="15.75">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ht="15.75">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ht="15.7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ht="15.75">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ht="15.75">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ht="15.75">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ht="15.75">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ht="15.75">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ht="15.75">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ht="15.75">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ht="15.75">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ht="15.75">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ht="15.7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ht="15.75">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ht="15.75">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ht="15.75">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ht="15.75">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ht="15.75">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ht="15.75">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ht="15.75">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ht="15.75">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ht="15.75">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ht="15.7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ht="15.75">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ht="15.75">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ht="15.75">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ht="15.75">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ht="15.75">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ht="15.75">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ht="15.75">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ht="15.75">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ht="15.75">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ht="15.7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ht="15.75">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ht="15.75">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ht="15.75">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ht="15.75">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ht="15.75">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ht="15.75">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ht="15.75">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ht="15.75">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ht="15.75">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ht="15.7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ht="15.75">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ht="15.75">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ht="15.75">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ht="15.75">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ht="15.75">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ht="15.75">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ht="15.75">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ht="15.75">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ht="15.75">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ht="15.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ht="15.75">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ht="15.75">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ht="15.75">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ht="15.75">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ht="15.75">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ht="15.75">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ht="15.75">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ht="15.75">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ht="15.75">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ht="15.7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ht="15.75">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ht="15.75">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ht="15.75">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ht="15.75">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ht="15.75">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ht="15.75">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ht="15.75">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ht="15.75">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ht="15.75">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ht="15.7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ht="15.75">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ht="15.75">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ht="15.75">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ht="15.75">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ht="15.75">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ht="15.75">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ht="15.75">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ht="15.75">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ht="15.75">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ht="15.7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ht="15.75">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ht="15.75">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ht="15.75">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ht="15.75">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ht="15.75">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ht="15.75">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ht="15.75">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ht="15.75">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ht="15.75">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ht="15.7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ht="15.75">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ht="15.75">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ht="15.75">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ht="15.75">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ht="15.75">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ht="15.75">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ht="15.75">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ht="15.75">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ht="15.75">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ht="15.7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ht="15.75">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ht="15.75">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ht="15.75">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ht="15.75">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ht="15.75">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ht="15.75">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ht="15.75">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ht="15.75">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ht="15.75">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ht="15.7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ht="15.75">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ht="15.75">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ht="15.75">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ht="15.75">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ht="15.75">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ht="15.75">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ht="15.75">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ht="15.75">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ht="15.75">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ht="15.7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ht="15.75">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ht="15.75">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ht="15.75">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ht="15.75">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ht="15.75">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ht="15.75">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ht="15.75">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ht="15.75">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ht="15.75">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ht="15.7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ht="15.75">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ht="15.75">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ht="15.75">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ht="15.75">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ht="15.75">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ht="15.75">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ht="15.75">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ht="15.75">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ht="15.75">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ht="15.7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ht="15.75">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ht="15.75">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ht="15.75">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ht="15.75">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ht="15.75">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ht="15.75">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ht="15.75">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ht="15.75">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ht="15.75">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ht="15.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ht="15.75">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ht="15.75">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ht="15.75">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ht="15.75">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ht="15.75">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ht="15.75">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ht="15.75">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ht="15.75">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ht="15.75">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ht="15.7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ht="15.75">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ht="15.75">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sheetData>
  <mergeCells count="6">
    <mergeCell ref="A106:E106"/>
    <mergeCell ref="A2:E2"/>
    <mergeCell ref="A3:E3"/>
    <mergeCell ref="A4:E4"/>
    <mergeCell ref="A10:A11"/>
    <mergeCell ref="C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MẪU THÁNG</vt:lpstr>
      <vt:lpstr>MẪU THÁNG GVCN</vt:lpstr>
      <vt:lpstr>MẪU GV THÁNG</vt:lpstr>
      <vt:lpstr>MẪU THÁNG GVPCN</vt:lpstr>
      <vt:lpstr>MẪU NĂM GVBM CHỐT</vt:lpstr>
      <vt:lpstr>MẪU NĂM GVNK CHỐT</vt:lpstr>
      <vt:lpstr>MẪU NĂM GVCN</vt:lpstr>
      <vt:lpstr>MẪU ĐÁNH GIÁ NĂM GVBM</vt:lpstr>
      <vt:lpstr>MẪU NĂM GVPCN</vt:lpstr>
      <vt:lpstr>MẪU ĐÁNH GIÁ THANH TRA CHUYÊN M</vt:lpstr>
      <vt:lpstr>MẪU THÁNG CHỐT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GV -  Phạm Văn Bằng</cp:lastModifiedBy>
  <dcterms:created xsi:type="dcterms:W3CDTF">2022-07-02T03:47:40Z</dcterms:created>
  <dcterms:modified xsi:type="dcterms:W3CDTF">2026-08-02T14:31:13Z</dcterms:modified>
</cp:coreProperties>
</file>